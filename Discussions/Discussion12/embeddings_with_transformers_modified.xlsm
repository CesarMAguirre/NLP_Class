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BC\SP_25\NLP\NLP_Class\Discussions\Discussion12\"/>
    </mc:Choice>
  </mc:AlternateContent>
  <xr:revisionPtr revIDLastSave="0" documentId="13_ncr:1_{1522AB46-1D21-4F29-807D-CA8E57A304F4}" xr6:coauthVersionLast="47" xr6:coauthVersionMax="47" xr10:uidLastSave="{00000000-0000-0000-0000-000000000000}"/>
  <bookViews>
    <workbookView xWindow="28680" yWindow="-12750" windowWidth="29040" windowHeight="16440" tabRatio="832" activeTab="4" xr2:uid="{00000000-000D-0000-FFFF-FFFF00000000}"/>
  </bookViews>
  <sheets>
    <sheet name="Basic Preprocessing" sheetId="1" r:id="rId1"/>
    <sheet name="Basic unigram coding" sheetId="2" r:id="rId2"/>
    <sheet name="Basic two-gram coding" sheetId="3" r:id="rId3"/>
    <sheet name="Basic Embeddings" sheetId="4" r:id="rId4"/>
    <sheet name="Simple Transformer" sheetId="6" r:id="rId5"/>
  </sheets>
  <definedNames>
    <definedName name="Attention">#REF!</definedName>
    <definedName name="BasicEmbeddings">'Basic Embeddings'!$P$3:$AI$6</definedName>
    <definedName name="Embeddings">#REF!</definedName>
    <definedName name="PosSemiDef">#REF!</definedName>
    <definedName name="SoftmaxA">#REF!</definedName>
    <definedName name="solver_adj" localSheetId="3" hidden="1">'Basic Embeddings'!$P$3:$S$4,'Basic Embeddings'!$T$3:$W$3,'Basic Embeddings'!$T$5:$W$6,'Basic Embeddings'!$X$3:$AA$3,'Basic Embeddings'!$X$6:$AA$6,'Basic Embeddings'!$AB$3:$AE$6,'Basic Embeddings'!$AF$3,'Basic Embeddings'!$AF$6</definedName>
    <definedName name="solver_adj" localSheetId="2" hidden="1">'Basic two-gram coding'!#REF!,'Basic two-gram coding'!#REF!,'Basic two-gram coding'!#REF!,'Basic two-gram coding'!#REF!,'Basic two-gram coding'!#REF!,'Basic two-gram coding'!#REF!,'Basic two-gram coding'!#REF!,'Basic two-gram coding'!#REF!</definedName>
    <definedName name="solver_adj" localSheetId="1" hidden="1">'Basic unigram coding'!$O$6:$AC$6</definedName>
    <definedName name="solver_adj" localSheetId="4" hidden="1">'Simple Transformer'!$B$5:$C$8,'Simple Transformer'!$Q$3:$R$3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cvg" localSheetId="4" hidden="1">0.0001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drv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ng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est" localSheetId="4" hidden="1">1</definedName>
    <definedName name="solver_itr" localSheetId="3" hidden="1">10000</definedName>
    <definedName name="solver_itr" localSheetId="2" hidden="1">10000</definedName>
    <definedName name="solver_itr" localSheetId="1" hidden="1">10000</definedName>
    <definedName name="solver_itr" localSheetId="4" hidden="1">2147483647</definedName>
    <definedName name="solver_lhs1" localSheetId="4" hidden="1">'Simple Transformer'!$B$5:$C$8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ip" localSheetId="4" hidden="1">2147483647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ni" localSheetId="4" hidden="1">30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rt" localSheetId="4" hidden="1">0.075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msl" localSheetId="4" hidden="1">2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eg" localSheetId="4" hidden="1">1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od" localSheetId="4" hidden="1">2147483647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um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nwt" localSheetId="4" hidden="1">1</definedName>
    <definedName name="solver_opt" localSheetId="3" hidden="1">'Basic Embeddings'!$AM$7</definedName>
    <definedName name="solver_opt" localSheetId="2" hidden="1">'Basic two-gram coding'!#REF!</definedName>
    <definedName name="solver_opt" localSheetId="1" hidden="1">'Basic unigram coding'!$AF$6</definedName>
    <definedName name="solver_opt" localSheetId="4" hidden="1">'Simple Transformer'!$V$1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pre" localSheetId="4" hidden="1">0.000001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bv" localSheetId="4" hidden="1">1</definedName>
    <definedName name="solver_rel1" localSheetId="4" hidden="1">3</definedName>
    <definedName name="solver_rhs1" localSheetId="4" hidden="1">0.02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lx" localSheetId="4" hidden="1">2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rsd" localSheetId="4" hidden="1">0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cl" localSheetId="4" hidden="1">1</definedName>
    <definedName name="solver_sho" localSheetId="3" hidden="1">1</definedName>
    <definedName name="solver_sho" localSheetId="2" hidden="1">1</definedName>
    <definedName name="solver_sho" localSheetId="1" hidden="1">1</definedName>
    <definedName name="solver_sho" localSheetId="4" hidden="1">2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ssz" localSheetId="4" hidden="1">100</definedName>
    <definedName name="solver_tim" localSheetId="3" hidden="1">100</definedName>
    <definedName name="solver_tim" localSheetId="2" hidden="1">100</definedName>
    <definedName name="solver_tim" localSheetId="1" hidden="1">100</definedName>
    <definedName name="solver_tim" localSheetId="4" hidden="1">2147483647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ol" localSheetId="4" hidden="1">0.01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typ" localSheetId="4" hidden="1">2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al" localSheetId="4" hidden="1">0</definedName>
    <definedName name="solver_ver" localSheetId="3" hidden="1">3</definedName>
    <definedName name="solver_ver" localSheetId="2" hidden="1">3</definedName>
    <definedName name="solver_ver" localSheetId="1" hidden="1">3</definedName>
    <definedName name="solver_ver" localSheetId="4" hidden="1">3</definedName>
    <definedName name="WeighedXbyK">#REF!</definedName>
    <definedName name="WeightedXbyQ">#REF!</definedName>
    <definedName name="WeightsK">#REF!</definedName>
    <definedName name="WeightsQ">#REF!</definedName>
    <definedName name="Word1">#REF!</definedName>
    <definedName name="Word2">#REF!</definedName>
    <definedName name="Word3">#REF!</definedName>
    <definedName name="Word4">#REF!</definedName>
    <definedName name="Word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6" l="1" a="1"/>
  <c r="E5" i="6" s="1"/>
  <c r="AE15" i="4"/>
  <c r="AD15" i="4"/>
  <c r="AC15" i="4"/>
  <c r="AB15" i="4"/>
  <c r="AA15" i="4"/>
  <c r="Z15" i="4"/>
  <c r="Y15" i="4"/>
  <c r="X15" i="4"/>
  <c r="AN15" i="4" s="1" a="1"/>
  <c r="AN15" i="4" s="1"/>
  <c r="W15" i="4"/>
  <c r="V15" i="4"/>
  <c r="U15" i="4"/>
  <c r="T15" i="4"/>
  <c r="S15" i="4"/>
  <c r="R15" i="4"/>
  <c r="Q15" i="4"/>
  <c r="AN16" i="4" s="1" a="1"/>
  <c r="AN16" i="4" s="1"/>
  <c r="P15" i="4"/>
  <c r="AK12" i="4"/>
  <c r="AK11" i="4"/>
  <c r="AK10" i="4"/>
  <c r="R6" i="4"/>
  <c r="P6" i="4"/>
  <c r="M6" i="4"/>
  <c r="L6" i="4"/>
  <c r="K6" i="4"/>
  <c r="J6" i="4"/>
  <c r="I6" i="4"/>
  <c r="AI5" i="4"/>
  <c r="AH5" i="4"/>
  <c r="AG5" i="4"/>
  <c r="AF5" i="4"/>
  <c r="AA5" i="4"/>
  <c r="Z5" i="4"/>
  <c r="Y5" i="4"/>
  <c r="X5" i="4"/>
  <c r="M5" i="4"/>
  <c r="L5" i="4"/>
  <c r="K5" i="4"/>
  <c r="J5" i="4"/>
  <c r="I5" i="4"/>
  <c r="AI4" i="4"/>
  <c r="AH4" i="4"/>
  <c r="AG4" i="4"/>
  <c r="AF4" i="4"/>
  <c r="AA4" i="4"/>
  <c r="Z4" i="4"/>
  <c r="Y4" i="4"/>
  <c r="X4" i="4"/>
  <c r="W4" i="4"/>
  <c r="S5" i="4" s="1"/>
  <c r="V4" i="4"/>
  <c r="R5" i="4" s="1"/>
  <c r="U4" i="4"/>
  <c r="Q5" i="4" s="1"/>
  <c r="T4" i="4"/>
  <c r="P5" i="4" s="1"/>
  <c r="M4" i="4"/>
  <c r="L4" i="4"/>
  <c r="K4" i="4"/>
  <c r="J4" i="4"/>
  <c r="I4" i="4"/>
  <c r="AM3" i="4"/>
  <c r="AL3" i="4"/>
  <c r="AK3" i="4"/>
  <c r="M3" i="4"/>
  <c r="L3" i="4"/>
  <c r="K3" i="4"/>
  <c r="J3" i="4"/>
  <c r="I3" i="4"/>
  <c r="F10" i="3"/>
  <c r="Q5" i="3" s="1"/>
  <c r="E10" i="3"/>
  <c r="D10" i="3"/>
  <c r="O5" i="3" s="1"/>
  <c r="C10" i="3"/>
  <c r="N5" i="3" s="1"/>
  <c r="F9" i="3"/>
  <c r="Q4" i="3" s="1"/>
  <c r="E9" i="3"/>
  <c r="P4" i="3" s="1"/>
  <c r="D9" i="3"/>
  <c r="C9" i="3"/>
  <c r="N4" i="3" s="1"/>
  <c r="F8" i="3"/>
  <c r="Q3" i="3" s="1"/>
  <c r="E8" i="3"/>
  <c r="P3" i="3" s="1"/>
  <c r="D8" i="3"/>
  <c r="O3" i="3" s="1"/>
  <c r="C8" i="3"/>
  <c r="N3" i="3" s="1"/>
  <c r="F7" i="3"/>
  <c r="E7" i="3"/>
  <c r="P2" i="3" s="1"/>
  <c r="D7" i="3"/>
  <c r="O2" i="3" s="1"/>
  <c r="C7" i="3"/>
  <c r="N2" i="3" s="1"/>
  <c r="P5" i="3"/>
  <c r="M5" i="3"/>
  <c r="L5" i="3"/>
  <c r="K5" i="3"/>
  <c r="J5" i="3"/>
  <c r="I5" i="3"/>
  <c r="O4" i="3"/>
  <c r="M4" i="3"/>
  <c r="L4" i="3"/>
  <c r="K4" i="3"/>
  <c r="J4" i="3"/>
  <c r="I4" i="3"/>
  <c r="M3" i="3"/>
  <c r="L3" i="3"/>
  <c r="K3" i="3"/>
  <c r="J3" i="3"/>
  <c r="I3" i="3"/>
  <c r="Q2" i="3"/>
  <c r="M2" i="3"/>
  <c r="L2" i="3"/>
  <c r="K2" i="3"/>
  <c r="J2" i="3"/>
  <c r="I2" i="3"/>
  <c r="AF5" i="2"/>
  <c r="AE5" i="2"/>
  <c r="M5" i="2"/>
  <c r="L5" i="2"/>
  <c r="K5" i="2"/>
  <c r="J5" i="2"/>
  <c r="I5" i="2"/>
  <c r="AE4" i="2"/>
  <c r="AF4" i="2" s="1"/>
  <c r="M4" i="2"/>
  <c r="L4" i="2"/>
  <c r="K4" i="2"/>
  <c r="J4" i="2"/>
  <c r="I4" i="2"/>
  <c r="AE3" i="2"/>
  <c r="AF3" i="2" s="1"/>
  <c r="M3" i="2"/>
  <c r="L3" i="2"/>
  <c r="K3" i="2"/>
  <c r="J3" i="2"/>
  <c r="I3" i="2"/>
  <c r="AE2" i="2"/>
  <c r="AF2" i="2" s="1"/>
  <c r="M2" i="2"/>
  <c r="L2" i="2"/>
  <c r="K2" i="2"/>
  <c r="J2" i="2"/>
  <c r="I2" i="2"/>
  <c r="H8" i="6" l="1"/>
  <c r="F8" i="6"/>
  <c r="E8" i="6"/>
  <c r="H7" i="6"/>
  <c r="G7" i="6"/>
  <c r="F7" i="6"/>
  <c r="E7" i="6"/>
  <c r="J7" i="6" s="1"/>
  <c r="H6" i="6"/>
  <c r="G6" i="6"/>
  <c r="F6" i="6"/>
  <c r="E6" i="6"/>
  <c r="H5" i="6"/>
  <c r="G5" i="6"/>
  <c r="F5" i="6"/>
  <c r="K5" i="6" s="1"/>
  <c r="G8" i="6"/>
  <c r="L8" i="6" s="1"/>
  <c r="AF6" i="2"/>
  <c r="AK5" i="4"/>
  <c r="AL5" i="4" s="1"/>
  <c r="AM5" i="4" s="1"/>
  <c r="AN17" i="4" a="1"/>
  <c r="AN17" i="4" s="1"/>
  <c r="AM17" i="4" a="1"/>
  <c r="AM17" i="4" s="1"/>
  <c r="AK17" i="4" a="1"/>
  <c r="AK17" i="4" s="1"/>
  <c r="AL15" i="4"/>
  <c r="Q6" i="4"/>
  <c r="AM15" i="4" a="1"/>
  <c r="AM15" i="4" s="1"/>
  <c r="AL17" i="4"/>
  <c r="S6" i="4"/>
  <c r="AK4" i="4"/>
  <c r="AL4" i="4" s="1"/>
  <c r="AM4" i="4" s="1"/>
  <c r="AJ16" i="4" a="1"/>
  <c r="AJ16" i="4" s="1"/>
  <c r="AK16" i="4" a="1"/>
  <c r="AK16" i="4" s="1"/>
  <c r="AL16" i="4"/>
  <c r="AM16" i="4" a="1"/>
  <c r="AM16" i="4" s="1"/>
  <c r="AJ15" i="4" a="1"/>
  <c r="AJ15" i="4" s="1"/>
  <c r="AK15" i="4" a="1"/>
  <c r="AK15" i="4" s="1"/>
  <c r="AJ17" i="4" a="1"/>
  <c r="AJ17" i="4" s="1"/>
  <c r="L6" i="6" l="1"/>
  <c r="L5" i="6"/>
  <c r="M5" i="6"/>
  <c r="J8" i="6"/>
  <c r="N8" i="6" s="1"/>
  <c r="K7" i="6"/>
  <c r="N7" i="6" s="1"/>
  <c r="L7" i="6"/>
  <c r="M7" i="6"/>
  <c r="J6" i="6"/>
  <c r="K6" i="6"/>
  <c r="K8" i="6"/>
  <c r="M8" i="6"/>
  <c r="M6" i="6"/>
  <c r="J5" i="6"/>
  <c r="N5" i="6" s="1"/>
  <c r="AK6" i="4"/>
  <c r="AL6" i="4" s="1"/>
  <c r="AM6" i="4" s="1"/>
  <c r="AM7" i="4" s="1"/>
  <c r="AK9" i="4" s="1"/>
  <c r="AM18" i="4" a="1"/>
  <c r="AM18" i="4" s="1"/>
  <c r="AL18" i="4"/>
  <c r="AN18" i="4" a="1"/>
  <c r="AN18" i="4" s="1"/>
  <c r="AK18" i="4" a="1"/>
  <c r="AK18" i="4" s="1"/>
  <c r="AJ18" i="4" a="1"/>
  <c r="AJ18" i="4" s="1"/>
  <c r="N6" i="6" l="1"/>
  <c r="P5" i="6" a="1"/>
  <c r="P5" i="6" s="1"/>
  <c r="Q5" i="6" l="1"/>
  <c r="P6" i="6"/>
  <c r="Q6" i="6"/>
  <c r="P7" i="6"/>
  <c r="Q7" i="6"/>
  <c r="Q8" i="6"/>
  <c r="P8" i="6"/>
  <c r="S5" i="6" l="1" a="1"/>
  <c r="S5" i="6" s="1"/>
  <c r="U5" i="6" s="1"/>
  <c r="S6" i="6" l="1"/>
  <c r="U6" i="6" s="1"/>
  <c r="S7" i="6"/>
  <c r="U7" i="6" s="1"/>
  <c r="S8" i="6"/>
  <c r="U8" i="6" s="1"/>
  <c r="V1" i="6" l="1"/>
</calcChain>
</file>

<file path=xl/sharedStrings.xml><?xml version="1.0" encoding="utf-8"?>
<sst xmlns="http://schemas.openxmlformats.org/spreadsheetml/2006/main" count="263" uniqueCount="86">
  <si>
    <t>Original Sentence</t>
  </si>
  <si>
    <t>Without Stopwords, Capitalization, Stemmed, and Padded (Keeping Prepositions)</t>
  </si>
  <si>
    <t>The dog jumped over the moon.</t>
  </si>
  <si>
    <t xml:space="preserve"> -&gt;</t>
  </si>
  <si>
    <t>dog</t>
  </si>
  <si>
    <t>jump</t>
  </si>
  <si>
    <t>over</t>
  </si>
  <si>
    <t>moon</t>
  </si>
  <si>
    <t>blank</t>
  </si>
  <si>
    <t>The cat jumps on the bed.</t>
  </si>
  <si>
    <t>cat</t>
  </si>
  <si>
    <t>on</t>
  </si>
  <si>
    <t>bed</t>
  </si>
  <si>
    <t>Jumping is my favorite sport in the world.</t>
  </si>
  <si>
    <t>favorite</t>
  </si>
  <si>
    <t>sport</t>
  </si>
  <si>
    <t>world</t>
  </si>
  <si>
    <t>Jumping jacks are the easiest sport to perform</t>
  </si>
  <si>
    <t>jacks</t>
  </si>
  <si>
    <t>easiest</t>
  </si>
  <si>
    <t>perform</t>
  </si>
  <si>
    <t>Data Frame</t>
  </si>
  <si>
    <t>Animal?</t>
  </si>
  <si>
    <t>Predicted</t>
  </si>
  <si>
    <t>SSE</t>
  </si>
  <si>
    <t>Betas</t>
  </si>
  <si>
    <t>Coding System (Nominal)</t>
  </si>
  <si>
    <t>2 Grams</t>
  </si>
  <si>
    <t>easy</t>
  </si>
  <si>
    <t xml:space="preserve">Value </t>
  </si>
  <si>
    <t>bed blank</t>
  </si>
  <si>
    <t>cat jump</t>
  </si>
  <si>
    <t>dog jump</t>
  </si>
  <si>
    <t>easy sport</t>
  </si>
  <si>
    <t>favorite sport</t>
  </si>
  <si>
    <t>jacks easy</t>
  </si>
  <si>
    <t>jump favorite</t>
  </si>
  <si>
    <t>jump jacks</t>
  </si>
  <si>
    <t>jump on</t>
  </si>
  <si>
    <t>jump over</t>
  </si>
  <si>
    <t>moon blank</t>
  </si>
  <si>
    <t>on bed</t>
  </si>
  <si>
    <t>over moon</t>
  </si>
  <si>
    <t>sport perform</t>
  </si>
  <si>
    <t>sport world</t>
  </si>
  <si>
    <t>world blank</t>
  </si>
  <si>
    <t>Linear Activation, no Bias</t>
  </si>
  <si>
    <t>Word 1</t>
  </si>
  <si>
    <t>Word 2</t>
  </si>
  <si>
    <t>Word 3</t>
  </si>
  <si>
    <t>Word 4</t>
  </si>
  <si>
    <t>Word 5</t>
  </si>
  <si>
    <t>Error</t>
  </si>
  <si>
    <t>Sq Error</t>
  </si>
  <si>
    <t>Doc 1</t>
  </si>
  <si>
    <t>Doc 2</t>
  </si>
  <si>
    <t>Doc 3</t>
  </si>
  <si>
    <t>Doc 4</t>
  </si>
  <si>
    <t>Initialization</t>
  </si>
  <si>
    <t>Solver</t>
  </si>
  <si>
    <t>Green boxes are tuned</t>
  </si>
  <si>
    <t>New Sentence</t>
  </si>
  <si>
    <t>Cosine Similarity</t>
  </si>
  <si>
    <t>Jaccard index</t>
  </si>
  <si>
    <t>Euclidean Distance</t>
  </si>
  <si>
    <t>Manhattan Distance</t>
  </si>
  <si>
    <t>Dice Coefficient</t>
  </si>
  <si>
    <t>Transformer Toy Layer (Q, K, V = Embeddings)</t>
  </si>
  <si>
    <t>Step 2: Attention Scores (Dot Product QKᵀ)</t>
  </si>
  <si>
    <t>Word</t>
  </si>
  <si>
    <t>E1</t>
  </si>
  <si>
    <t>E2</t>
  </si>
  <si>
    <t>Softmax</t>
  </si>
  <si>
    <t>Weights</t>
  </si>
  <si>
    <t>Softmax rows x Embeddings</t>
  </si>
  <si>
    <t>Objective</t>
  </si>
  <si>
    <t>Step 1: Input Embeddings (Q)</t>
  </si>
  <si>
    <t>QxK^T</t>
  </si>
  <si>
    <t>Predicted (WxV)</t>
  </si>
  <si>
    <t>Embeddings=Query, Key</t>
  </si>
  <si>
    <t>4x2</t>
  </si>
  <si>
    <t>4 x 4</t>
  </si>
  <si>
    <t>Dimensions</t>
  </si>
  <si>
    <t>We don't have to use the I matrix. This matrix is usually tuned</t>
  </si>
  <si>
    <t>SE (Squared Errors)</t>
  </si>
  <si>
    <t>Row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</si>
</sst>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9" formatCode="0.000000E+00"/>
    <numFmt numFmtId="170" formatCode="0.0000000E+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4" borderId="0" xfId="0" applyFill="1"/>
    <xf numFmtId="0" fontId="0" fillId="4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3" fillId="2" borderId="0" xfId="0" applyFont="1" applyFill="1"/>
    <xf numFmtId="164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2" xfId="0" applyFill="1" applyBorder="1"/>
    <xf numFmtId="0" fontId="0" fillId="2" borderId="13" xfId="0" applyFill="1" applyBorder="1"/>
    <xf numFmtId="0" fontId="1" fillId="2" borderId="7" xfId="0" applyFont="1" applyFill="1" applyBorder="1" applyAlignment="1">
      <alignment horizontal="center" vertical="center"/>
    </xf>
    <xf numFmtId="0" fontId="1" fillId="2" borderId="7" xfId="0" applyFont="1" applyFill="1" applyBorder="1"/>
    <xf numFmtId="0" fontId="1" fillId="2" borderId="9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1" xfId="0" applyFont="1" applyFill="1" applyBorder="1" applyAlignment="1">
      <alignment horizontal="center"/>
    </xf>
    <xf numFmtId="164" fontId="0" fillId="2" borderId="4" xfId="0" applyNumberFormat="1" applyFill="1" applyBorder="1"/>
    <xf numFmtId="0" fontId="0" fillId="2" borderId="5" xfId="0" applyFill="1" applyBorder="1" applyAlignment="1">
      <alignment horizontal="center"/>
    </xf>
    <xf numFmtId="164" fontId="0" fillId="2" borderId="6" xfId="0" applyNumberFormat="1" applyFill="1" applyBorder="1"/>
    <xf numFmtId="164" fontId="0" fillId="2" borderId="7" xfId="0" applyNumberFormat="1" applyFill="1" applyBorder="1"/>
    <xf numFmtId="0" fontId="0" fillId="2" borderId="8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2" fillId="2" borderId="5" xfId="0" applyFont="1" applyFill="1" applyBorder="1"/>
    <xf numFmtId="0" fontId="0" fillId="2" borderId="14" xfId="0" applyFill="1" applyBorder="1"/>
    <xf numFmtId="0" fontId="2" fillId="2" borderId="3" xfId="0" applyFont="1" applyFill="1" applyBorder="1"/>
    <xf numFmtId="0" fontId="1" fillId="2" borderId="9" xfId="0" applyFont="1" applyFill="1" applyBorder="1"/>
    <xf numFmtId="0" fontId="1" fillId="2" borderId="11" xfId="0" applyFont="1" applyFill="1" applyBorder="1"/>
    <xf numFmtId="0" fontId="0" fillId="7" borderId="0" xfId="0" applyFill="1"/>
    <xf numFmtId="0" fontId="0" fillId="2" borderId="0" xfId="0" applyFill="1" applyAlignment="1">
      <alignment vertical="center"/>
    </xf>
    <xf numFmtId="0" fontId="0" fillId="8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6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1" fillId="2" borderId="7" xfId="0" applyFont="1" applyFill="1" applyBorder="1" applyAlignment="1">
      <alignment horizontal="center" vertical="center" wrapText="1"/>
    </xf>
    <xf numFmtId="0" fontId="0" fillId="0" borderId="7" xfId="0" applyBorder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9" fontId="0" fillId="9" borderId="0" xfId="0" applyNumberFormat="1" applyFill="1"/>
    <xf numFmtId="0" fontId="0" fillId="0" borderId="0" xfId="0" applyFill="1"/>
    <xf numFmtId="170" fontId="0" fillId="0" borderId="0" xfId="0" applyNumberFormat="1" applyFill="1"/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167640</xdr:rowOff>
        </xdr:from>
        <xdr:to>
          <xdr:col>0</xdr:col>
          <xdr:colOff>2072640</xdr:colOff>
          <xdr:row>9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zoomScale="120" zoomScaleNormal="120" workbookViewId="0">
      <selection activeCell="D5" sqref="D5"/>
    </sheetView>
  </sheetViews>
  <sheetFormatPr defaultColWidth="8.77734375" defaultRowHeight="14.4" x14ac:dyDescent="0.3"/>
  <cols>
    <col min="1" max="1" width="37.109375" style="3" bestFit="1" customWidth="1"/>
    <col min="2" max="2" width="8.77734375" style="3" customWidth="1"/>
    <col min="3" max="16384" width="8.77734375" style="3"/>
  </cols>
  <sheetData>
    <row r="1" spans="1:7" ht="34.200000000000003" customHeight="1" x14ac:dyDescent="0.3">
      <c r="A1" s="38" t="s">
        <v>0</v>
      </c>
      <c r="B1" s="39"/>
      <c r="C1" s="65" t="s">
        <v>1</v>
      </c>
      <c r="D1" s="66"/>
      <c r="E1" s="66"/>
      <c r="F1" s="66"/>
      <c r="G1" s="66"/>
    </row>
    <row r="2" spans="1:7" x14ac:dyDescent="0.3">
      <c r="A2" s="50" t="s">
        <v>2</v>
      </c>
      <c r="B2" s="3" t="s">
        <v>3</v>
      </c>
      <c r="C2" s="28" t="s">
        <v>4</v>
      </c>
      <c r="D2" s="29" t="s">
        <v>5</v>
      </c>
      <c r="E2" s="29" t="s">
        <v>6</v>
      </c>
      <c r="F2" s="29" t="s">
        <v>7</v>
      </c>
      <c r="G2" s="51" t="s">
        <v>8</v>
      </c>
    </row>
    <row r="3" spans="1:7" x14ac:dyDescent="0.3">
      <c r="A3" s="36" t="s">
        <v>9</v>
      </c>
      <c r="B3" s="3" t="s">
        <v>3</v>
      </c>
      <c r="C3" s="31" t="s">
        <v>10</v>
      </c>
      <c r="D3" s="3" t="s">
        <v>5</v>
      </c>
      <c r="E3" s="3" t="s">
        <v>11</v>
      </c>
      <c r="F3" s="3" t="s">
        <v>12</v>
      </c>
      <c r="G3" s="49" t="s">
        <v>8</v>
      </c>
    </row>
    <row r="4" spans="1:7" x14ac:dyDescent="0.3">
      <c r="A4" s="36" t="s">
        <v>13</v>
      </c>
      <c r="B4" s="3" t="s">
        <v>3</v>
      </c>
      <c r="C4" s="31" t="s">
        <v>5</v>
      </c>
      <c r="D4" s="3" t="s">
        <v>14</v>
      </c>
      <c r="E4" s="3" t="s">
        <v>15</v>
      </c>
      <c r="F4" s="3" t="s">
        <v>16</v>
      </c>
      <c r="G4" s="49" t="s">
        <v>8</v>
      </c>
    </row>
    <row r="5" spans="1:7" x14ac:dyDescent="0.3">
      <c r="A5" s="37" t="s">
        <v>17</v>
      </c>
      <c r="B5" s="3" t="s">
        <v>3</v>
      </c>
      <c r="C5" s="33" t="s">
        <v>5</v>
      </c>
      <c r="D5" s="34" t="s">
        <v>18</v>
      </c>
      <c r="E5" s="34" t="s">
        <v>19</v>
      </c>
      <c r="F5" s="34" t="s">
        <v>15</v>
      </c>
      <c r="G5" s="35" t="s">
        <v>20</v>
      </c>
    </row>
  </sheetData>
  <mergeCells count="1">
    <mergeCell ref="C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F21"/>
  <sheetViews>
    <sheetView zoomScaleNormal="100" workbookViewId="0">
      <selection activeCell="F18" sqref="F18"/>
    </sheetView>
  </sheetViews>
  <sheetFormatPr defaultColWidth="8.77734375" defaultRowHeight="14.4" x14ac:dyDescent="0.3"/>
  <cols>
    <col min="1" max="1" width="37.109375" style="3" bestFit="1" customWidth="1"/>
    <col min="2" max="2" width="3.6640625" style="3" bestFit="1" customWidth="1"/>
    <col min="3" max="3" width="7.88671875" style="3" customWidth="1"/>
    <col min="4" max="7" width="8.77734375" style="3" customWidth="1"/>
    <col min="8" max="8" width="2.6640625" style="3" bestFit="1" customWidth="1"/>
    <col min="9" max="10" width="1.6640625" style="3" bestFit="1" customWidth="1"/>
    <col min="11" max="13" width="2.6640625" style="3" bestFit="1" customWidth="1"/>
    <col min="14" max="15" width="8.77734375" style="3" customWidth="1"/>
    <col min="16" max="29" width="4.77734375" style="3" customWidth="1"/>
    <col min="30" max="30" width="8.77734375" style="3" customWidth="1"/>
    <col min="31" max="16384" width="8.77734375" style="3"/>
  </cols>
  <sheetData>
    <row r="1" spans="1:32" s="2" customFormat="1" ht="33" customHeight="1" x14ac:dyDescent="0.3">
      <c r="A1" s="38" t="s">
        <v>0</v>
      </c>
      <c r="B1" s="39"/>
      <c r="C1" s="65" t="s">
        <v>1</v>
      </c>
      <c r="D1" s="66"/>
      <c r="E1" s="66"/>
      <c r="F1" s="66"/>
      <c r="G1" s="66"/>
      <c r="H1" s="39"/>
      <c r="I1" s="65" t="s">
        <v>21</v>
      </c>
      <c r="J1" s="66"/>
      <c r="K1" s="66"/>
      <c r="L1" s="66"/>
      <c r="M1" s="66"/>
      <c r="P1" s="27">
        <v>0</v>
      </c>
      <c r="Q1" s="27">
        <v>1</v>
      </c>
      <c r="R1" s="27">
        <v>2</v>
      </c>
      <c r="S1" s="27">
        <v>3</v>
      </c>
      <c r="T1" s="27">
        <v>4</v>
      </c>
      <c r="U1" s="27">
        <v>5</v>
      </c>
      <c r="V1" s="27">
        <v>6</v>
      </c>
      <c r="W1" s="27">
        <v>7</v>
      </c>
      <c r="X1" s="27">
        <v>8</v>
      </c>
      <c r="Y1" s="27">
        <v>9</v>
      </c>
      <c r="Z1" s="27">
        <v>10</v>
      </c>
      <c r="AA1" s="27">
        <v>11</v>
      </c>
      <c r="AB1" s="27">
        <v>12</v>
      </c>
      <c r="AC1" s="27">
        <v>13</v>
      </c>
      <c r="AD1" s="2" t="s">
        <v>22</v>
      </c>
      <c r="AE1" s="2" t="s">
        <v>23</v>
      </c>
      <c r="AF1" s="2" t="s">
        <v>24</v>
      </c>
    </row>
    <row r="2" spans="1:32" x14ac:dyDescent="0.3">
      <c r="A2" s="50" t="s">
        <v>2</v>
      </c>
      <c r="B2" s="3" t="s">
        <v>3</v>
      </c>
      <c r="C2" s="28" t="s">
        <v>4</v>
      </c>
      <c r="D2" s="29" t="s">
        <v>5</v>
      </c>
      <c r="E2" s="29" t="s">
        <v>6</v>
      </c>
      <c r="F2" s="29" t="s">
        <v>7</v>
      </c>
      <c r="G2" s="51" t="s">
        <v>8</v>
      </c>
      <c r="H2" s="2" t="s">
        <v>3</v>
      </c>
      <c r="I2" s="28">
        <f t="shared" ref="I2:M5" si="0">VLOOKUP(C2,$A$8:$B$21,2,FALSE)</f>
        <v>3</v>
      </c>
      <c r="J2" s="29">
        <f t="shared" si="0"/>
        <v>7</v>
      </c>
      <c r="K2" s="29">
        <f t="shared" si="0"/>
        <v>10</v>
      </c>
      <c r="L2" s="29">
        <f t="shared" si="0"/>
        <v>8</v>
      </c>
      <c r="M2" s="30">
        <f t="shared" si="0"/>
        <v>0</v>
      </c>
      <c r="P2" s="55">
        <v>1</v>
      </c>
      <c r="Q2" s="55">
        <v>0</v>
      </c>
      <c r="R2" s="55">
        <v>0</v>
      </c>
      <c r="S2" s="55">
        <v>1</v>
      </c>
      <c r="T2" s="55">
        <v>0</v>
      </c>
      <c r="U2" s="55">
        <v>0</v>
      </c>
      <c r="V2" s="55">
        <v>0</v>
      </c>
      <c r="W2" s="55">
        <v>1</v>
      </c>
      <c r="X2" s="55">
        <v>1</v>
      </c>
      <c r="Y2" s="55">
        <v>0</v>
      </c>
      <c r="Z2" s="55">
        <v>1</v>
      </c>
      <c r="AA2" s="55">
        <v>0</v>
      </c>
      <c r="AB2" s="55">
        <v>0</v>
      </c>
      <c r="AC2" s="55">
        <v>0</v>
      </c>
      <c r="AD2" s="3">
        <v>1</v>
      </c>
      <c r="AE2" s="3">
        <f>SUMPRODUCT(P2:AC2,$P$6:$AC$6)+$O$6</f>
        <v>0.99962792614122042</v>
      </c>
      <c r="AF2" s="3">
        <f>(AD2-AE2)^2</f>
        <v>1.3843895638712369E-7</v>
      </c>
    </row>
    <row r="3" spans="1:32" x14ac:dyDescent="0.3">
      <c r="A3" s="36" t="s">
        <v>9</v>
      </c>
      <c r="B3" s="3" t="s">
        <v>3</v>
      </c>
      <c r="C3" s="31" t="s">
        <v>10</v>
      </c>
      <c r="D3" s="3" t="s">
        <v>5</v>
      </c>
      <c r="E3" s="3" t="s">
        <v>11</v>
      </c>
      <c r="F3" s="3" t="s">
        <v>12</v>
      </c>
      <c r="G3" s="49" t="s">
        <v>8</v>
      </c>
      <c r="H3" s="2" t="s">
        <v>3</v>
      </c>
      <c r="I3" s="31">
        <f t="shared" si="0"/>
        <v>2</v>
      </c>
      <c r="J3" s="3">
        <f t="shared" si="0"/>
        <v>7</v>
      </c>
      <c r="K3" s="3">
        <f t="shared" si="0"/>
        <v>9</v>
      </c>
      <c r="L3" s="3">
        <f t="shared" si="0"/>
        <v>1</v>
      </c>
      <c r="M3" s="32">
        <f t="shared" si="0"/>
        <v>0</v>
      </c>
      <c r="P3" s="55">
        <v>1</v>
      </c>
      <c r="Q3" s="55">
        <v>1</v>
      </c>
      <c r="R3" s="55">
        <v>1</v>
      </c>
      <c r="S3" s="55">
        <v>0</v>
      </c>
      <c r="T3" s="55">
        <v>0</v>
      </c>
      <c r="U3" s="55">
        <v>0</v>
      </c>
      <c r="V3" s="55">
        <v>0</v>
      </c>
      <c r="W3" s="55">
        <v>1</v>
      </c>
      <c r="X3" s="55">
        <v>0</v>
      </c>
      <c r="Y3" s="55">
        <v>1</v>
      </c>
      <c r="Z3" s="55">
        <v>0</v>
      </c>
      <c r="AA3" s="55">
        <v>0</v>
      </c>
      <c r="AB3" s="55">
        <v>0</v>
      </c>
      <c r="AC3" s="55">
        <v>0</v>
      </c>
      <c r="AD3" s="3">
        <v>1</v>
      </c>
      <c r="AE3" s="3">
        <f>SUMPRODUCT(P3:AC3,$P$6:$AC$6)+$O$6</f>
        <v>1.0003829142647436</v>
      </c>
      <c r="AF3" s="3">
        <f>(AD3-AE3)^2</f>
        <v>1.4662333414411063E-7</v>
      </c>
    </row>
    <row r="4" spans="1:32" x14ac:dyDescent="0.3">
      <c r="A4" s="36" t="s">
        <v>13</v>
      </c>
      <c r="B4" s="3" t="s">
        <v>3</v>
      </c>
      <c r="C4" s="31" t="s">
        <v>5</v>
      </c>
      <c r="D4" s="3" t="s">
        <v>14</v>
      </c>
      <c r="E4" s="3" t="s">
        <v>15</v>
      </c>
      <c r="F4" s="3" t="s">
        <v>16</v>
      </c>
      <c r="G4" s="49" t="s">
        <v>8</v>
      </c>
      <c r="H4" s="2" t="s">
        <v>3</v>
      </c>
      <c r="I4" s="31">
        <f t="shared" si="0"/>
        <v>7</v>
      </c>
      <c r="J4" s="3">
        <f t="shared" si="0"/>
        <v>5</v>
      </c>
      <c r="K4" s="3">
        <f t="shared" si="0"/>
        <v>12</v>
      </c>
      <c r="L4" s="3">
        <f t="shared" si="0"/>
        <v>13</v>
      </c>
      <c r="M4" s="32">
        <f t="shared" si="0"/>
        <v>0</v>
      </c>
      <c r="P4" s="55">
        <v>1</v>
      </c>
      <c r="Q4" s="55">
        <v>0</v>
      </c>
      <c r="R4" s="55">
        <v>0</v>
      </c>
      <c r="S4" s="55">
        <v>0</v>
      </c>
      <c r="T4" s="55">
        <v>0</v>
      </c>
      <c r="U4" s="55">
        <v>1</v>
      </c>
      <c r="V4" s="55">
        <v>0</v>
      </c>
      <c r="W4" s="55">
        <v>1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1</v>
      </c>
      <c r="AD4" s="3">
        <v>0</v>
      </c>
      <c r="AE4" s="3">
        <f>SUMPRODUCT(P4:AC4,$P$6:$AC$6)+$O$6</f>
        <v>3.6028137189253662E-4</v>
      </c>
      <c r="AF4" s="3">
        <f>(AD4-AE4)^2</f>
        <v>1.2980266693276829E-7</v>
      </c>
    </row>
    <row r="5" spans="1:32" x14ac:dyDescent="0.3">
      <c r="A5" s="37" t="s">
        <v>17</v>
      </c>
      <c r="B5" s="3" t="s">
        <v>3</v>
      </c>
      <c r="C5" s="33" t="s">
        <v>5</v>
      </c>
      <c r="D5" s="34" t="s">
        <v>18</v>
      </c>
      <c r="E5" s="34" t="s">
        <v>19</v>
      </c>
      <c r="F5" s="34" t="s">
        <v>15</v>
      </c>
      <c r="G5" s="35" t="s">
        <v>20</v>
      </c>
      <c r="H5" s="2" t="s">
        <v>3</v>
      </c>
      <c r="I5" s="33">
        <f t="shared" si="0"/>
        <v>7</v>
      </c>
      <c r="J5" s="34">
        <f t="shared" si="0"/>
        <v>6</v>
      </c>
      <c r="K5" s="34">
        <f t="shared" si="0"/>
        <v>4</v>
      </c>
      <c r="L5" s="34">
        <f t="shared" si="0"/>
        <v>12</v>
      </c>
      <c r="M5" s="35">
        <f t="shared" si="0"/>
        <v>11</v>
      </c>
      <c r="P5" s="55">
        <v>0</v>
      </c>
      <c r="Q5" s="55">
        <v>0</v>
      </c>
      <c r="R5" s="55">
        <v>0</v>
      </c>
      <c r="S5" s="55">
        <v>0</v>
      </c>
      <c r="T5" s="55">
        <v>1</v>
      </c>
      <c r="U5" s="55">
        <v>0</v>
      </c>
      <c r="V5" s="55">
        <v>1</v>
      </c>
      <c r="W5" s="55">
        <v>1</v>
      </c>
      <c r="X5" s="55">
        <v>0</v>
      </c>
      <c r="Y5" s="55">
        <v>0</v>
      </c>
      <c r="Z5" s="55">
        <v>0</v>
      </c>
      <c r="AA5" s="55">
        <v>1</v>
      </c>
      <c r="AB5" s="55">
        <v>1</v>
      </c>
      <c r="AC5" s="55">
        <v>0</v>
      </c>
      <c r="AD5" s="3">
        <v>0</v>
      </c>
      <c r="AE5" s="3">
        <f>SUMPRODUCT(P5:AC5,$P$6:$AC$6)+$O$6</f>
        <v>0</v>
      </c>
      <c r="AF5" s="3">
        <f>(AD5-AE5)^2</f>
        <v>0</v>
      </c>
    </row>
    <row r="6" spans="1:32" x14ac:dyDescent="0.3">
      <c r="N6" s="3" t="s">
        <v>25</v>
      </c>
      <c r="O6" s="8">
        <v>0</v>
      </c>
      <c r="P6" s="8">
        <v>3.6028137189253662E-4</v>
      </c>
      <c r="Q6" s="8">
        <v>0.33311705491902971</v>
      </c>
      <c r="R6" s="8">
        <v>0.33311705491902971</v>
      </c>
      <c r="S6" s="8">
        <v>0.33264158050994819</v>
      </c>
      <c r="T6" s="8">
        <v>0</v>
      </c>
      <c r="U6" s="8">
        <v>0</v>
      </c>
      <c r="V6" s="8">
        <v>0</v>
      </c>
      <c r="W6" s="8">
        <v>0</v>
      </c>
      <c r="X6" s="8">
        <v>0.33331303212968982</v>
      </c>
      <c r="Y6" s="8">
        <v>0.33378852305479162</v>
      </c>
      <c r="Z6" s="8">
        <v>0.33331303212968982</v>
      </c>
      <c r="AA6" s="8">
        <v>0</v>
      </c>
      <c r="AB6" s="8">
        <v>0</v>
      </c>
      <c r="AC6" s="8">
        <v>0</v>
      </c>
      <c r="AD6" s="3">
        <v>0</v>
      </c>
      <c r="AF6" s="54">
        <f>SUM(AF2:AF5)</f>
        <v>4.1486495746400262E-7</v>
      </c>
    </row>
    <row r="7" spans="1:32" x14ac:dyDescent="0.3">
      <c r="A7" s="39" t="s">
        <v>26</v>
      </c>
      <c r="B7" s="34"/>
    </row>
    <row r="8" spans="1:32" x14ac:dyDescent="0.3">
      <c r="A8" s="28" t="s">
        <v>8</v>
      </c>
      <c r="B8" s="29">
        <v>0</v>
      </c>
    </row>
    <row r="9" spans="1:32" x14ac:dyDescent="0.3">
      <c r="A9" s="31" t="s">
        <v>12</v>
      </c>
      <c r="B9" s="32">
        <v>1</v>
      </c>
    </row>
    <row r="10" spans="1:32" x14ac:dyDescent="0.3">
      <c r="A10" s="31" t="s">
        <v>10</v>
      </c>
      <c r="B10" s="32">
        <v>2</v>
      </c>
    </row>
    <row r="11" spans="1:32" x14ac:dyDescent="0.3">
      <c r="A11" s="31" t="s">
        <v>4</v>
      </c>
      <c r="B11" s="32">
        <v>3</v>
      </c>
    </row>
    <row r="12" spans="1:32" x14ac:dyDescent="0.3">
      <c r="A12" s="31" t="s">
        <v>19</v>
      </c>
      <c r="B12" s="32">
        <v>4</v>
      </c>
    </row>
    <row r="13" spans="1:32" x14ac:dyDescent="0.3">
      <c r="A13" s="31" t="s">
        <v>14</v>
      </c>
      <c r="B13" s="32">
        <v>5</v>
      </c>
    </row>
    <row r="14" spans="1:32" x14ac:dyDescent="0.3">
      <c r="A14" s="31" t="s">
        <v>18</v>
      </c>
      <c r="B14" s="32">
        <v>6</v>
      </c>
    </row>
    <row r="15" spans="1:32" x14ac:dyDescent="0.3">
      <c r="A15" s="31" t="s">
        <v>5</v>
      </c>
      <c r="B15" s="32">
        <v>7</v>
      </c>
    </row>
    <row r="16" spans="1:32" x14ac:dyDescent="0.3">
      <c r="A16" s="31" t="s">
        <v>7</v>
      </c>
      <c r="B16" s="32">
        <v>8</v>
      </c>
    </row>
    <row r="17" spans="1:2" x14ac:dyDescent="0.3">
      <c r="A17" s="31" t="s">
        <v>11</v>
      </c>
      <c r="B17" s="32">
        <v>9</v>
      </c>
    </row>
    <row r="18" spans="1:2" x14ac:dyDescent="0.3">
      <c r="A18" s="31" t="s">
        <v>6</v>
      </c>
      <c r="B18" s="32">
        <v>10</v>
      </c>
    </row>
    <row r="19" spans="1:2" x14ac:dyDescent="0.3">
      <c r="A19" s="31" t="s">
        <v>20</v>
      </c>
      <c r="B19" s="32">
        <v>11</v>
      </c>
    </row>
    <row r="20" spans="1:2" x14ac:dyDescent="0.3">
      <c r="A20" s="31" t="s">
        <v>15</v>
      </c>
      <c r="B20" s="32">
        <v>12</v>
      </c>
    </row>
    <row r="21" spans="1:2" x14ac:dyDescent="0.3">
      <c r="A21" s="33" t="s">
        <v>16</v>
      </c>
      <c r="B21" s="35">
        <v>13</v>
      </c>
    </row>
  </sheetData>
  <mergeCells count="2">
    <mergeCell ref="C1:G1"/>
    <mergeCell ref="I1:M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R38"/>
  <sheetViews>
    <sheetView zoomScale="120" zoomScaleNormal="120" workbookViewId="0">
      <selection activeCell="C6" sqref="C6"/>
    </sheetView>
  </sheetViews>
  <sheetFormatPr defaultColWidth="8.77734375" defaultRowHeight="14.4" x14ac:dyDescent="0.3"/>
  <cols>
    <col min="1" max="1" width="37.109375" style="3" bestFit="1" customWidth="1"/>
    <col min="2" max="2" width="5.44140625" style="3" bestFit="1" customWidth="1"/>
    <col min="3" max="4" width="11.21875" style="3" bestFit="1" customWidth="1"/>
    <col min="5" max="5" width="9.6640625" style="3" bestFit="1" customWidth="1"/>
    <col min="6" max="6" width="11.5546875" style="3" bestFit="1" customWidth="1"/>
    <col min="7" max="7" width="7.109375" style="3" bestFit="1" customWidth="1"/>
    <col min="8" max="17" width="2.6640625" style="3" bestFit="1" customWidth="1"/>
    <col min="18" max="18" width="8.77734375" style="3" customWidth="1"/>
    <col min="19" max="16384" width="8.77734375" style="3"/>
  </cols>
  <sheetData>
    <row r="1" spans="1:18" s="2" customFormat="1" ht="33" customHeight="1" x14ac:dyDescent="0.3">
      <c r="A1" s="38" t="s">
        <v>0</v>
      </c>
      <c r="B1" s="39"/>
      <c r="C1" s="65" t="s">
        <v>1</v>
      </c>
      <c r="D1" s="66"/>
      <c r="E1" s="66"/>
      <c r="F1" s="66"/>
      <c r="G1" s="66"/>
      <c r="H1" s="39"/>
      <c r="I1" s="65" t="s">
        <v>21</v>
      </c>
      <c r="J1" s="66"/>
      <c r="K1" s="66"/>
      <c r="L1" s="66"/>
      <c r="M1" s="66"/>
      <c r="N1" s="65" t="s">
        <v>27</v>
      </c>
      <c r="O1" s="66"/>
      <c r="P1" s="66"/>
      <c r="Q1" s="66"/>
      <c r="R1" s="39" t="s">
        <v>22</v>
      </c>
    </row>
    <row r="2" spans="1:18" x14ac:dyDescent="0.3">
      <c r="A2" s="50" t="s">
        <v>2</v>
      </c>
      <c r="B2" s="3" t="s">
        <v>3</v>
      </c>
      <c r="C2" s="28" t="s">
        <v>4</v>
      </c>
      <c r="D2" s="29" t="s">
        <v>5</v>
      </c>
      <c r="E2" s="29" t="s">
        <v>6</v>
      </c>
      <c r="F2" s="29" t="s">
        <v>7</v>
      </c>
      <c r="G2" s="51" t="s">
        <v>8</v>
      </c>
      <c r="H2" s="3" t="s">
        <v>3</v>
      </c>
      <c r="I2" s="31">
        <f t="shared" ref="I2:M5" si="0">VLOOKUP(C2,$A$8:$B$38,2,FALSE)</f>
        <v>5</v>
      </c>
      <c r="J2" s="3">
        <f t="shared" si="0"/>
        <v>13</v>
      </c>
      <c r="K2" s="3">
        <f t="shared" si="0"/>
        <v>22</v>
      </c>
      <c r="L2" s="3">
        <f t="shared" si="0"/>
        <v>18</v>
      </c>
      <c r="M2" s="32">
        <f t="shared" si="0"/>
        <v>0</v>
      </c>
      <c r="N2" s="31">
        <f t="shared" ref="N2:Q5" si="1">VLOOKUP(C7,$A$8:$B$38,2,FALSE)</f>
        <v>6</v>
      </c>
      <c r="O2" s="3">
        <f t="shared" si="1"/>
        <v>17</v>
      </c>
      <c r="P2" s="3">
        <f t="shared" si="1"/>
        <v>23</v>
      </c>
      <c r="Q2" s="32">
        <f t="shared" si="1"/>
        <v>19</v>
      </c>
      <c r="R2" s="36">
        <v>1</v>
      </c>
    </row>
    <row r="3" spans="1:18" x14ac:dyDescent="0.3">
      <c r="A3" s="36" t="s">
        <v>9</v>
      </c>
      <c r="B3" s="3" t="s">
        <v>3</v>
      </c>
      <c r="C3" s="31" t="s">
        <v>10</v>
      </c>
      <c r="D3" s="3" t="s">
        <v>5</v>
      </c>
      <c r="E3" s="3" t="s">
        <v>11</v>
      </c>
      <c r="F3" s="3" t="s">
        <v>12</v>
      </c>
      <c r="G3" s="49" t="s">
        <v>8</v>
      </c>
      <c r="H3" s="3" t="s">
        <v>3</v>
      </c>
      <c r="I3" s="31">
        <f t="shared" si="0"/>
        <v>3</v>
      </c>
      <c r="J3" s="3">
        <f t="shared" si="0"/>
        <v>13</v>
      </c>
      <c r="K3" s="3">
        <f t="shared" si="0"/>
        <v>20</v>
      </c>
      <c r="L3" s="3">
        <f t="shared" si="0"/>
        <v>1</v>
      </c>
      <c r="M3" s="32">
        <f t="shared" si="0"/>
        <v>0</v>
      </c>
      <c r="N3" s="31">
        <f t="shared" si="1"/>
        <v>4</v>
      </c>
      <c r="O3" s="3">
        <f t="shared" si="1"/>
        <v>16</v>
      </c>
      <c r="P3" s="3">
        <f t="shared" si="1"/>
        <v>21</v>
      </c>
      <c r="Q3" s="32">
        <f t="shared" si="1"/>
        <v>2</v>
      </c>
      <c r="R3" s="36">
        <v>1</v>
      </c>
    </row>
    <row r="4" spans="1:18" x14ac:dyDescent="0.3">
      <c r="A4" s="36" t="s">
        <v>13</v>
      </c>
      <c r="B4" s="3" t="s">
        <v>3</v>
      </c>
      <c r="C4" s="31" t="s">
        <v>5</v>
      </c>
      <c r="D4" s="3" t="s">
        <v>14</v>
      </c>
      <c r="E4" s="3" t="s">
        <v>15</v>
      </c>
      <c r="F4" s="3" t="s">
        <v>16</v>
      </c>
      <c r="G4" s="49" t="s">
        <v>8</v>
      </c>
      <c r="H4" s="3" t="s">
        <v>3</v>
      </c>
      <c r="I4" s="31">
        <f t="shared" si="0"/>
        <v>13</v>
      </c>
      <c r="J4" s="3">
        <f t="shared" si="0"/>
        <v>9</v>
      </c>
      <c r="K4" s="3">
        <f t="shared" si="0"/>
        <v>25</v>
      </c>
      <c r="L4" s="3">
        <f t="shared" si="0"/>
        <v>29</v>
      </c>
      <c r="M4" s="32">
        <f t="shared" si="0"/>
        <v>0</v>
      </c>
      <c r="N4" s="31">
        <f t="shared" si="1"/>
        <v>14</v>
      </c>
      <c r="O4" s="3">
        <f t="shared" si="1"/>
        <v>10</v>
      </c>
      <c r="P4" s="3">
        <f t="shared" si="1"/>
        <v>28</v>
      </c>
      <c r="Q4" s="32">
        <f t="shared" si="1"/>
        <v>30</v>
      </c>
      <c r="R4" s="36">
        <v>0</v>
      </c>
    </row>
    <row r="5" spans="1:18" x14ac:dyDescent="0.3">
      <c r="A5" s="37" t="s">
        <v>17</v>
      </c>
      <c r="B5" s="3" t="s">
        <v>3</v>
      </c>
      <c r="C5" s="33" t="s">
        <v>5</v>
      </c>
      <c r="D5" s="34" t="s">
        <v>18</v>
      </c>
      <c r="E5" s="34" t="s">
        <v>28</v>
      </c>
      <c r="F5" s="34" t="s">
        <v>15</v>
      </c>
      <c r="G5" s="35" t="s">
        <v>20</v>
      </c>
      <c r="H5" s="3" t="s">
        <v>3</v>
      </c>
      <c r="I5" s="33">
        <f t="shared" si="0"/>
        <v>13</v>
      </c>
      <c r="J5" s="34">
        <f t="shared" si="0"/>
        <v>11</v>
      </c>
      <c r="K5" s="34">
        <f t="shared" si="0"/>
        <v>7</v>
      </c>
      <c r="L5" s="34">
        <f t="shared" si="0"/>
        <v>25</v>
      </c>
      <c r="M5" s="35">
        <f t="shared" si="0"/>
        <v>24</v>
      </c>
      <c r="N5" s="33">
        <f t="shared" si="1"/>
        <v>15</v>
      </c>
      <c r="O5" s="34">
        <f t="shared" si="1"/>
        <v>12</v>
      </c>
      <c r="P5" s="34">
        <f t="shared" si="1"/>
        <v>8</v>
      </c>
      <c r="Q5" s="35">
        <f t="shared" si="1"/>
        <v>27</v>
      </c>
      <c r="R5" s="37">
        <v>0</v>
      </c>
    </row>
    <row r="7" spans="1:18" x14ac:dyDescent="0.3">
      <c r="A7" s="52" t="s">
        <v>26</v>
      </c>
      <c r="B7" s="53" t="s">
        <v>29</v>
      </c>
      <c r="C7" s="28" t="str">
        <f t="shared" ref="C7:F10" si="2">CONCATENATE(C2, " ",D2)</f>
        <v>dog jump</v>
      </c>
      <c r="D7" s="29" t="str">
        <f t="shared" si="2"/>
        <v>jump over</v>
      </c>
      <c r="E7" s="29" t="str">
        <f t="shared" si="2"/>
        <v>over moon</v>
      </c>
      <c r="F7" s="30" t="str">
        <f t="shared" si="2"/>
        <v>moon blank</v>
      </c>
    </row>
    <row r="8" spans="1:18" x14ac:dyDescent="0.3">
      <c r="A8" s="31" t="s">
        <v>12</v>
      </c>
      <c r="B8" s="32">
        <v>1</v>
      </c>
      <c r="C8" s="31" t="str">
        <f t="shared" si="2"/>
        <v>cat jump</v>
      </c>
      <c r="D8" s="3" t="str">
        <f t="shared" si="2"/>
        <v>jump on</v>
      </c>
      <c r="E8" s="3" t="str">
        <f t="shared" si="2"/>
        <v>on bed</v>
      </c>
      <c r="F8" s="32" t="str">
        <f t="shared" si="2"/>
        <v>bed blank</v>
      </c>
    </row>
    <row r="9" spans="1:18" x14ac:dyDescent="0.3">
      <c r="A9" s="31" t="s">
        <v>30</v>
      </c>
      <c r="B9" s="32">
        <v>2</v>
      </c>
      <c r="C9" s="31" t="str">
        <f t="shared" si="2"/>
        <v>jump favorite</v>
      </c>
      <c r="D9" s="3" t="str">
        <f t="shared" si="2"/>
        <v>favorite sport</v>
      </c>
      <c r="E9" s="3" t="str">
        <f t="shared" si="2"/>
        <v>sport world</v>
      </c>
      <c r="F9" s="32" t="str">
        <f t="shared" si="2"/>
        <v>world blank</v>
      </c>
    </row>
    <row r="10" spans="1:18" x14ac:dyDescent="0.3">
      <c r="A10" s="31" t="s">
        <v>8</v>
      </c>
      <c r="B10" s="32">
        <v>0</v>
      </c>
      <c r="C10" s="33" t="str">
        <f t="shared" si="2"/>
        <v>jump jacks</v>
      </c>
      <c r="D10" s="34" t="str">
        <f t="shared" si="2"/>
        <v>jacks easy</v>
      </c>
      <c r="E10" s="34" t="str">
        <f t="shared" si="2"/>
        <v>easy sport</v>
      </c>
      <c r="F10" s="35" t="str">
        <f t="shared" si="2"/>
        <v>sport perform</v>
      </c>
    </row>
    <row r="11" spans="1:18" x14ac:dyDescent="0.3">
      <c r="A11" s="31" t="s">
        <v>10</v>
      </c>
      <c r="B11" s="32">
        <v>3</v>
      </c>
    </row>
    <row r="12" spans="1:18" x14ac:dyDescent="0.3">
      <c r="A12" s="31" t="s">
        <v>31</v>
      </c>
      <c r="B12" s="32">
        <v>4</v>
      </c>
    </row>
    <row r="13" spans="1:18" x14ac:dyDescent="0.3">
      <c r="A13" s="31" t="s">
        <v>4</v>
      </c>
      <c r="B13" s="32">
        <v>5</v>
      </c>
    </row>
    <row r="14" spans="1:18" x14ac:dyDescent="0.3">
      <c r="A14" s="31" t="s">
        <v>32</v>
      </c>
      <c r="B14" s="32">
        <v>6</v>
      </c>
    </row>
    <row r="15" spans="1:18" x14ac:dyDescent="0.3">
      <c r="A15" s="31" t="s">
        <v>28</v>
      </c>
      <c r="B15" s="32">
        <v>7</v>
      </c>
    </row>
    <row r="16" spans="1:18" x14ac:dyDescent="0.3">
      <c r="A16" s="31" t="s">
        <v>33</v>
      </c>
      <c r="B16" s="32">
        <v>8</v>
      </c>
    </row>
    <row r="17" spans="1:2" x14ac:dyDescent="0.3">
      <c r="A17" s="31" t="s">
        <v>14</v>
      </c>
      <c r="B17" s="32">
        <v>9</v>
      </c>
    </row>
    <row r="18" spans="1:2" x14ac:dyDescent="0.3">
      <c r="A18" s="31" t="s">
        <v>34</v>
      </c>
      <c r="B18" s="32">
        <v>10</v>
      </c>
    </row>
    <row r="19" spans="1:2" x14ac:dyDescent="0.3">
      <c r="A19" s="31" t="s">
        <v>18</v>
      </c>
      <c r="B19" s="32">
        <v>11</v>
      </c>
    </row>
    <row r="20" spans="1:2" x14ac:dyDescent="0.3">
      <c r="A20" s="31" t="s">
        <v>35</v>
      </c>
      <c r="B20" s="32">
        <v>12</v>
      </c>
    </row>
    <row r="21" spans="1:2" x14ac:dyDescent="0.3">
      <c r="A21" s="31" t="s">
        <v>5</v>
      </c>
      <c r="B21" s="32">
        <v>13</v>
      </c>
    </row>
    <row r="22" spans="1:2" x14ac:dyDescent="0.3">
      <c r="A22" s="31" t="s">
        <v>36</v>
      </c>
      <c r="B22" s="32">
        <v>14</v>
      </c>
    </row>
    <row r="23" spans="1:2" x14ac:dyDescent="0.3">
      <c r="A23" s="31" t="s">
        <v>37</v>
      </c>
      <c r="B23" s="32">
        <v>15</v>
      </c>
    </row>
    <row r="24" spans="1:2" x14ac:dyDescent="0.3">
      <c r="A24" s="31" t="s">
        <v>38</v>
      </c>
      <c r="B24" s="32">
        <v>16</v>
      </c>
    </row>
    <row r="25" spans="1:2" x14ac:dyDescent="0.3">
      <c r="A25" s="31" t="s">
        <v>39</v>
      </c>
      <c r="B25" s="32">
        <v>17</v>
      </c>
    </row>
    <row r="26" spans="1:2" x14ac:dyDescent="0.3">
      <c r="A26" s="31" t="s">
        <v>7</v>
      </c>
      <c r="B26" s="32">
        <v>18</v>
      </c>
    </row>
    <row r="27" spans="1:2" x14ac:dyDescent="0.3">
      <c r="A27" s="31" t="s">
        <v>40</v>
      </c>
      <c r="B27" s="32">
        <v>19</v>
      </c>
    </row>
    <row r="28" spans="1:2" x14ac:dyDescent="0.3">
      <c r="A28" s="31" t="s">
        <v>11</v>
      </c>
      <c r="B28" s="32">
        <v>20</v>
      </c>
    </row>
    <row r="29" spans="1:2" x14ac:dyDescent="0.3">
      <c r="A29" s="31" t="s">
        <v>41</v>
      </c>
      <c r="B29" s="32">
        <v>21</v>
      </c>
    </row>
    <row r="30" spans="1:2" x14ac:dyDescent="0.3">
      <c r="A30" s="31" t="s">
        <v>6</v>
      </c>
      <c r="B30" s="32">
        <v>22</v>
      </c>
    </row>
    <row r="31" spans="1:2" x14ac:dyDescent="0.3">
      <c r="A31" s="31" t="s">
        <v>42</v>
      </c>
      <c r="B31" s="32">
        <v>23</v>
      </c>
    </row>
    <row r="32" spans="1:2" x14ac:dyDescent="0.3">
      <c r="A32" s="31" t="s">
        <v>20</v>
      </c>
      <c r="B32" s="32">
        <v>24</v>
      </c>
    </row>
    <row r="33" spans="1:2" x14ac:dyDescent="0.3">
      <c r="A33" s="31" t="s">
        <v>15</v>
      </c>
      <c r="B33" s="32">
        <v>25</v>
      </c>
    </row>
    <row r="34" spans="1:2" x14ac:dyDescent="0.3">
      <c r="A34" s="31" t="s">
        <v>15</v>
      </c>
      <c r="B34" s="32">
        <v>26</v>
      </c>
    </row>
    <row r="35" spans="1:2" x14ac:dyDescent="0.3">
      <c r="A35" s="31" t="s">
        <v>43</v>
      </c>
      <c r="B35" s="32">
        <v>27</v>
      </c>
    </row>
    <row r="36" spans="1:2" x14ac:dyDescent="0.3">
      <c r="A36" s="31" t="s">
        <v>44</v>
      </c>
      <c r="B36" s="32">
        <v>28</v>
      </c>
    </row>
    <row r="37" spans="1:2" x14ac:dyDescent="0.3">
      <c r="A37" s="31" t="s">
        <v>16</v>
      </c>
      <c r="B37" s="32">
        <v>29</v>
      </c>
    </row>
    <row r="38" spans="1:2" x14ac:dyDescent="0.3">
      <c r="A38" s="33" t="s">
        <v>45</v>
      </c>
      <c r="B38" s="35">
        <v>30</v>
      </c>
    </row>
  </sheetData>
  <mergeCells count="3">
    <mergeCell ref="C1:G1"/>
    <mergeCell ref="I1:M1"/>
    <mergeCell ref="N1:Q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O23"/>
  <sheetViews>
    <sheetView topLeftCell="E1" workbookViewId="0">
      <selection activeCell="P3" sqref="P3:S3"/>
    </sheetView>
  </sheetViews>
  <sheetFormatPr defaultColWidth="8.77734375" defaultRowHeight="14.4" x14ac:dyDescent="0.3"/>
  <cols>
    <col min="1" max="1" width="37.109375" style="3" bestFit="1" customWidth="1"/>
    <col min="2" max="2" width="2.6640625" style="3" bestFit="1" customWidth="1"/>
    <col min="3" max="3" width="7.88671875" style="3" customWidth="1"/>
    <col min="4" max="7" width="8.77734375" style="3" customWidth="1"/>
    <col min="8" max="8" width="2.6640625" style="3" bestFit="1" customWidth="1"/>
    <col min="9" max="10" width="1.6640625" style="3" bestFit="1" customWidth="1"/>
    <col min="11" max="13" width="2.6640625" style="3" bestFit="1" customWidth="1"/>
    <col min="14" max="35" width="8.77734375" style="3" customWidth="1"/>
    <col min="36" max="36" width="14.77734375" style="3" bestFit="1" customWidth="1"/>
    <col min="37" max="37" width="12" style="3" bestFit="1" customWidth="1"/>
    <col min="38" max="38" width="16.6640625" style="3" bestFit="1" customWidth="1"/>
    <col min="39" max="39" width="17.33203125" style="3" bestFit="1" customWidth="1"/>
    <col min="40" max="40" width="14" style="3" bestFit="1" customWidth="1"/>
    <col min="41" max="41" width="8.77734375" style="3" customWidth="1"/>
    <col min="42" max="16384" width="8.77734375" style="3"/>
  </cols>
  <sheetData>
    <row r="1" spans="1:41" x14ac:dyDescent="0.3">
      <c r="P1" s="5">
        <v>1</v>
      </c>
      <c r="Q1" s="5">
        <v>2</v>
      </c>
      <c r="R1" s="5">
        <v>3</v>
      </c>
      <c r="S1" s="5">
        <v>4</v>
      </c>
      <c r="T1" s="5">
        <v>1</v>
      </c>
      <c r="U1" s="5">
        <v>2</v>
      </c>
      <c r="V1" s="5">
        <v>3</v>
      </c>
      <c r="W1" s="5">
        <v>4</v>
      </c>
      <c r="X1" s="5">
        <v>1</v>
      </c>
      <c r="Y1" s="5">
        <v>2</v>
      </c>
      <c r="Z1" s="5">
        <v>3</v>
      </c>
      <c r="AA1" s="5">
        <v>4</v>
      </c>
      <c r="AB1" s="5">
        <v>1</v>
      </c>
      <c r="AC1" s="5">
        <v>2</v>
      </c>
      <c r="AD1" s="5">
        <v>3</v>
      </c>
      <c r="AE1" s="5">
        <v>4</v>
      </c>
      <c r="AF1" s="5">
        <v>1</v>
      </c>
      <c r="AG1" s="5">
        <v>2</v>
      </c>
      <c r="AH1" s="5">
        <v>3</v>
      </c>
      <c r="AI1" s="5">
        <v>4</v>
      </c>
      <c r="AK1" s="24" t="s">
        <v>46</v>
      </c>
    </row>
    <row r="2" spans="1:41" s="2" customFormat="1" ht="33" customHeight="1" x14ac:dyDescent="0.3">
      <c r="A2" s="1" t="s">
        <v>0</v>
      </c>
      <c r="C2" s="70" t="s">
        <v>1</v>
      </c>
      <c r="D2" s="68"/>
      <c r="E2" s="68"/>
      <c r="F2" s="68"/>
      <c r="G2" s="68"/>
      <c r="I2" s="70" t="s">
        <v>21</v>
      </c>
      <c r="J2" s="68"/>
      <c r="K2" s="68"/>
      <c r="L2" s="68"/>
      <c r="M2" s="68"/>
      <c r="P2" s="67" t="s">
        <v>47</v>
      </c>
      <c r="Q2" s="68"/>
      <c r="R2" s="68"/>
      <c r="S2" s="68"/>
      <c r="T2" s="67" t="s">
        <v>48</v>
      </c>
      <c r="U2" s="68"/>
      <c r="V2" s="68"/>
      <c r="W2" s="68"/>
      <c r="X2" s="67" t="s">
        <v>49</v>
      </c>
      <c r="Y2" s="68"/>
      <c r="Z2" s="68"/>
      <c r="AA2" s="68"/>
      <c r="AB2" s="67" t="s">
        <v>50</v>
      </c>
      <c r="AC2" s="68"/>
      <c r="AD2" s="68"/>
      <c r="AE2" s="68"/>
      <c r="AF2" s="67" t="s">
        <v>51</v>
      </c>
      <c r="AG2" s="68"/>
      <c r="AH2" s="68"/>
      <c r="AI2" s="68"/>
      <c r="AJ2" s="6" t="s">
        <v>22</v>
      </c>
      <c r="AK2" s="6" t="s">
        <v>23</v>
      </c>
      <c r="AL2" s="6" t="s">
        <v>52</v>
      </c>
      <c r="AM2" s="6" t="s">
        <v>53</v>
      </c>
    </row>
    <row r="3" spans="1:41" x14ac:dyDescent="0.3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4" t="s">
        <v>8</v>
      </c>
      <c r="H3" s="2" t="s">
        <v>3</v>
      </c>
      <c r="I3" s="3">
        <f t="shared" ref="I3:M6" si="0">VLOOKUP(C3,$C$9:$D$23,2,FALSE)</f>
        <v>3</v>
      </c>
      <c r="J3" s="3">
        <f t="shared" si="0"/>
        <v>7</v>
      </c>
      <c r="K3" s="3">
        <f t="shared" si="0"/>
        <v>10</v>
      </c>
      <c r="L3" s="3">
        <f t="shared" si="0"/>
        <v>8</v>
      </c>
      <c r="M3" s="3">
        <f t="shared" si="0"/>
        <v>0</v>
      </c>
      <c r="O3" s="2" t="s">
        <v>54</v>
      </c>
      <c r="P3" s="12">
        <v>1.2812500920696119</v>
      </c>
      <c r="Q3" s="13">
        <v>1.2812500920696119</v>
      </c>
      <c r="R3" s="13">
        <v>1.2812500920696119</v>
      </c>
      <c r="S3" s="13">
        <v>1.2812500920696119</v>
      </c>
      <c r="T3" s="12">
        <v>0</v>
      </c>
      <c r="U3" s="13">
        <v>0</v>
      </c>
      <c r="V3" s="13">
        <v>0</v>
      </c>
      <c r="W3" s="16">
        <v>0</v>
      </c>
      <c r="X3" s="12">
        <v>2.0624998158607761</v>
      </c>
      <c r="Y3" s="13">
        <v>2.0624998158607761</v>
      </c>
      <c r="Z3" s="13">
        <v>2.0624998158607761</v>
      </c>
      <c r="AA3" s="13">
        <v>2.0624998158607761</v>
      </c>
      <c r="AB3" s="12">
        <v>1.2812500920696119</v>
      </c>
      <c r="AC3" s="13">
        <v>1.2812500920696119</v>
      </c>
      <c r="AD3" s="13">
        <v>1.2812500920696119</v>
      </c>
      <c r="AE3" s="16">
        <v>1.2812500920696119</v>
      </c>
      <c r="AF3" s="12">
        <v>0</v>
      </c>
      <c r="AG3" s="13">
        <v>0.5</v>
      </c>
      <c r="AH3" s="13">
        <v>0.5</v>
      </c>
      <c r="AI3" s="16">
        <v>0.5</v>
      </c>
      <c r="AJ3" s="26">
        <v>1</v>
      </c>
      <c r="AK3" s="26">
        <f>AVERAGE(P3:AI3)</f>
        <v>1</v>
      </c>
      <c r="AL3" s="26">
        <f>AJ3-AK3</f>
        <v>0</v>
      </c>
      <c r="AM3" s="26">
        <f>AL3^2</f>
        <v>0</v>
      </c>
    </row>
    <row r="4" spans="1:41" x14ac:dyDescent="0.3">
      <c r="A4" s="3" t="s">
        <v>9</v>
      </c>
      <c r="B4" s="3" t="s">
        <v>3</v>
      </c>
      <c r="C4" s="3" t="s">
        <v>10</v>
      </c>
      <c r="D4" s="3" t="s">
        <v>5</v>
      </c>
      <c r="E4" s="3" t="s">
        <v>11</v>
      </c>
      <c r="F4" s="3" t="s">
        <v>12</v>
      </c>
      <c r="G4" s="4" t="s">
        <v>8</v>
      </c>
      <c r="H4" s="2" t="s">
        <v>3</v>
      </c>
      <c r="I4" s="3">
        <f t="shared" si="0"/>
        <v>2</v>
      </c>
      <c r="J4" s="3">
        <f t="shared" si="0"/>
        <v>7</v>
      </c>
      <c r="K4" s="3">
        <f t="shared" si="0"/>
        <v>9</v>
      </c>
      <c r="L4" s="3">
        <f t="shared" si="0"/>
        <v>1</v>
      </c>
      <c r="M4" s="3">
        <f t="shared" si="0"/>
        <v>0</v>
      </c>
      <c r="O4" s="2" t="s">
        <v>55</v>
      </c>
      <c r="P4" s="14">
        <v>1.2812500920696119</v>
      </c>
      <c r="Q4" s="15">
        <v>1.2812500920696119</v>
      </c>
      <c r="R4" s="15">
        <v>1.2812500920696119</v>
      </c>
      <c r="S4" s="15">
        <v>1.2812500920696119</v>
      </c>
      <c r="T4" s="7">
        <f t="shared" ref="T4:AA4" si="1">T3</f>
        <v>0</v>
      </c>
      <c r="U4" s="8">
        <f t="shared" si="1"/>
        <v>0</v>
      </c>
      <c r="V4" s="8">
        <f t="shared" si="1"/>
        <v>0</v>
      </c>
      <c r="W4" s="9">
        <f t="shared" si="1"/>
        <v>0</v>
      </c>
      <c r="X4" s="8">
        <f t="shared" si="1"/>
        <v>2.0624998158607761</v>
      </c>
      <c r="Y4" s="8">
        <f t="shared" si="1"/>
        <v>2.0624998158607761</v>
      </c>
      <c r="Z4" s="8">
        <f t="shared" si="1"/>
        <v>2.0624998158607761</v>
      </c>
      <c r="AA4" s="8">
        <f t="shared" si="1"/>
        <v>2.0624998158607761</v>
      </c>
      <c r="AB4" s="14">
        <v>1.2812500920696119</v>
      </c>
      <c r="AC4" s="15">
        <v>1.2812500920696119</v>
      </c>
      <c r="AD4" s="15">
        <v>1.2812500920696119</v>
      </c>
      <c r="AE4" s="17">
        <v>1.2812500920696119</v>
      </c>
      <c r="AF4" s="7">
        <f>AF3</f>
        <v>0</v>
      </c>
      <c r="AG4" s="8">
        <f>AG3</f>
        <v>0.5</v>
      </c>
      <c r="AH4" s="8">
        <f>AH3</f>
        <v>0.5</v>
      </c>
      <c r="AI4" s="9">
        <f>AI3</f>
        <v>0.5</v>
      </c>
      <c r="AJ4" s="26">
        <v>1</v>
      </c>
      <c r="AK4" s="26">
        <f>AVERAGE(P4:AI4)</f>
        <v>1</v>
      </c>
      <c r="AL4" s="26">
        <f>AJ4-AK4</f>
        <v>0</v>
      </c>
      <c r="AM4" s="26">
        <f>AL4^2</f>
        <v>0</v>
      </c>
    </row>
    <row r="5" spans="1:41" x14ac:dyDescent="0.3">
      <c r="A5" s="3" t="s">
        <v>13</v>
      </c>
      <c r="B5" s="3" t="s">
        <v>3</v>
      </c>
      <c r="C5" s="3" t="s">
        <v>5</v>
      </c>
      <c r="D5" s="3" t="s">
        <v>14</v>
      </c>
      <c r="E5" s="3" t="s">
        <v>15</v>
      </c>
      <c r="F5" s="3" t="s">
        <v>16</v>
      </c>
      <c r="G5" s="4" t="s">
        <v>8</v>
      </c>
      <c r="H5" s="2" t="s">
        <v>3</v>
      </c>
      <c r="I5" s="3">
        <f t="shared" si="0"/>
        <v>7</v>
      </c>
      <c r="J5" s="3">
        <f t="shared" si="0"/>
        <v>5</v>
      </c>
      <c r="K5" s="3">
        <f t="shared" si="0"/>
        <v>12</v>
      </c>
      <c r="L5" s="3">
        <f t="shared" si="0"/>
        <v>14</v>
      </c>
      <c r="M5" s="3">
        <f t="shared" si="0"/>
        <v>0</v>
      </c>
      <c r="O5" s="2" t="s">
        <v>56</v>
      </c>
      <c r="P5" s="7">
        <f>T4</f>
        <v>0</v>
      </c>
      <c r="Q5" s="8">
        <f>U4</f>
        <v>0</v>
      </c>
      <c r="R5" s="8">
        <f>V4</f>
        <v>0</v>
      </c>
      <c r="S5" s="8">
        <f>W4</f>
        <v>0</v>
      </c>
      <c r="T5" s="14">
        <v>0</v>
      </c>
      <c r="U5" s="15">
        <v>0</v>
      </c>
      <c r="V5" s="15">
        <v>0</v>
      </c>
      <c r="W5" s="17">
        <v>0</v>
      </c>
      <c r="X5" s="8">
        <f>AB6</f>
        <v>0</v>
      </c>
      <c r="Y5" s="8">
        <f>AC6</f>
        <v>0</v>
      </c>
      <c r="Z5" s="8">
        <f>AD6</f>
        <v>0</v>
      </c>
      <c r="AA5" s="8">
        <f>AE6</f>
        <v>0</v>
      </c>
      <c r="AB5" s="14">
        <v>0</v>
      </c>
      <c r="AC5" s="15">
        <v>0</v>
      </c>
      <c r="AD5" s="15">
        <v>0</v>
      </c>
      <c r="AE5" s="17">
        <v>0</v>
      </c>
      <c r="AF5" s="7">
        <f>AF3</f>
        <v>0</v>
      </c>
      <c r="AG5" s="8">
        <f>AG3</f>
        <v>0.5</v>
      </c>
      <c r="AH5" s="8">
        <f>AH3</f>
        <v>0.5</v>
      </c>
      <c r="AI5" s="9">
        <f>AI3</f>
        <v>0.5</v>
      </c>
      <c r="AJ5" s="26">
        <v>0</v>
      </c>
      <c r="AK5" s="26">
        <f>AVERAGE(P5:AI5)</f>
        <v>7.4999999999999997E-2</v>
      </c>
      <c r="AL5" s="26">
        <f>AJ5-AK5</f>
        <v>-7.4999999999999997E-2</v>
      </c>
      <c r="AM5" s="26">
        <f>AL5^2</f>
        <v>5.6249999999999998E-3</v>
      </c>
    </row>
    <row r="6" spans="1:41" x14ac:dyDescent="0.3">
      <c r="A6" s="3" t="s">
        <v>17</v>
      </c>
      <c r="B6" s="3" t="s">
        <v>3</v>
      </c>
      <c r="C6" s="3" t="s">
        <v>5</v>
      </c>
      <c r="D6" s="3" t="s">
        <v>18</v>
      </c>
      <c r="E6" s="3" t="s">
        <v>19</v>
      </c>
      <c r="F6" s="3" t="s">
        <v>15</v>
      </c>
      <c r="G6" s="3" t="s">
        <v>20</v>
      </c>
      <c r="H6" s="2" t="s">
        <v>3</v>
      </c>
      <c r="I6" s="3">
        <f t="shared" si="0"/>
        <v>7</v>
      </c>
      <c r="J6" s="3">
        <f t="shared" si="0"/>
        <v>6</v>
      </c>
      <c r="K6" s="3">
        <f t="shared" si="0"/>
        <v>4</v>
      </c>
      <c r="L6" s="3">
        <f t="shared" si="0"/>
        <v>12</v>
      </c>
      <c r="M6" s="3">
        <f t="shared" si="0"/>
        <v>11</v>
      </c>
      <c r="O6" s="2" t="s">
        <v>57</v>
      </c>
      <c r="P6" s="10">
        <f>T4</f>
        <v>0</v>
      </c>
      <c r="Q6" s="11">
        <f>U4</f>
        <v>0</v>
      </c>
      <c r="R6" s="11">
        <f>V4</f>
        <v>0</v>
      </c>
      <c r="S6" s="11">
        <f>W4</f>
        <v>0</v>
      </c>
      <c r="T6" s="18">
        <v>0</v>
      </c>
      <c r="U6" s="19">
        <v>0</v>
      </c>
      <c r="V6" s="19">
        <v>0</v>
      </c>
      <c r="W6" s="20">
        <v>0</v>
      </c>
      <c r="X6" s="19">
        <v>0</v>
      </c>
      <c r="Y6" s="19">
        <v>0</v>
      </c>
      <c r="Z6" s="19">
        <v>0</v>
      </c>
      <c r="AA6" s="19">
        <v>0</v>
      </c>
      <c r="AB6" s="18">
        <v>0</v>
      </c>
      <c r="AC6" s="19">
        <v>0</v>
      </c>
      <c r="AD6" s="19">
        <v>0</v>
      </c>
      <c r="AE6" s="20">
        <v>0</v>
      </c>
      <c r="AF6" s="18">
        <v>0</v>
      </c>
      <c r="AG6" s="19">
        <v>0.5</v>
      </c>
      <c r="AH6" s="19">
        <v>0.5</v>
      </c>
      <c r="AI6" s="20">
        <v>0.5</v>
      </c>
      <c r="AJ6" s="26">
        <v>0</v>
      </c>
      <c r="AK6" s="26">
        <f>AVERAGE(P6:AI6)</f>
        <v>7.4999999999999997E-2</v>
      </c>
      <c r="AL6" s="26">
        <f>AJ6-AK6</f>
        <v>-7.4999999999999997E-2</v>
      </c>
      <c r="AM6" s="26">
        <f>AL6^2</f>
        <v>5.6249999999999998E-3</v>
      </c>
    </row>
    <row r="7" spans="1:41" x14ac:dyDescent="0.3">
      <c r="P7" s="67" t="s">
        <v>58</v>
      </c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M7" s="48">
        <f>SUM(AM3:AM6)</f>
        <v>1.125E-2</v>
      </c>
    </row>
    <row r="8" spans="1:41" x14ac:dyDescent="0.3">
      <c r="C8" s="2" t="s">
        <v>26</v>
      </c>
      <c r="AK8" s="2" t="s">
        <v>59</v>
      </c>
    </row>
    <row r="9" spans="1:41" x14ac:dyDescent="0.3">
      <c r="C9" s="3" t="s">
        <v>8</v>
      </c>
      <c r="D9" s="3">
        <v>0</v>
      </c>
      <c r="P9" s="3" t="s">
        <v>60</v>
      </c>
      <c r="AK9" s="5">
        <f>MIN($AM$7)</f>
        <v>1.125E-2</v>
      </c>
    </row>
    <row r="10" spans="1:41" x14ac:dyDescent="0.3">
      <c r="C10" s="3" t="s">
        <v>12</v>
      </c>
      <c r="D10" s="3">
        <v>1</v>
      </c>
      <c r="AK10" s="5">
        <f>COUNT($P$3:$S$4,$T$3:$W$3,$T$5:$W$6,$X$3:$AA$3,$X$6:$AA$6,$AB$3:$AE$6,$AF$3,$AF$6)</f>
        <v>46</v>
      </c>
    </row>
    <row r="11" spans="1:41" x14ac:dyDescent="0.3">
      <c r="C11" s="3" t="s">
        <v>10</v>
      </c>
      <c r="D11" s="3">
        <v>2</v>
      </c>
      <c r="AK11" s="5">
        <f>{32767,32767,0.000001,0.01,FALSE,FALSE,TRUE,1,1,1,0.0001,TRUE}</f>
        <v>32767</v>
      </c>
    </row>
    <row r="12" spans="1:41" x14ac:dyDescent="0.3">
      <c r="C12" s="3" t="s">
        <v>4</v>
      </c>
      <c r="D12" s="3">
        <v>3</v>
      </c>
      <c r="O12" s="2" t="s">
        <v>61</v>
      </c>
      <c r="AK12" s="5">
        <f>{0,0,1,100,0,FALSE,TRUE,0.075,0,0,FALSE,30}</f>
        <v>0</v>
      </c>
    </row>
    <row r="13" spans="1:41" x14ac:dyDescent="0.3">
      <c r="C13" s="3" t="s">
        <v>19</v>
      </c>
      <c r="D13" s="3">
        <v>4</v>
      </c>
      <c r="O13" s="2"/>
      <c r="P13" s="2"/>
      <c r="Q13" s="2" t="s">
        <v>4</v>
      </c>
      <c r="R13" s="2"/>
      <c r="S13" s="24"/>
      <c r="T13" s="2"/>
      <c r="U13" s="2" t="s">
        <v>5</v>
      </c>
      <c r="V13" s="2"/>
      <c r="W13" s="2"/>
      <c r="X13" s="2"/>
      <c r="Y13" s="2" t="s">
        <v>6</v>
      </c>
      <c r="Z13" s="2"/>
      <c r="AA13" s="2"/>
      <c r="AB13" s="2"/>
      <c r="AC13" s="2" t="s">
        <v>10</v>
      </c>
      <c r="AD13" s="2"/>
      <c r="AE13" s="2"/>
      <c r="AF13" s="2"/>
      <c r="AG13" s="2" t="s">
        <v>8</v>
      </c>
      <c r="AH13" s="2"/>
    </row>
    <row r="14" spans="1:41" x14ac:dyDescent="0.3">
      <c r="C14" s="3" t="s">
        <v>14</v>
      </c>
      <c r="D14" s="3">
        <v>5</v>
      </c>
      <c r="O14" s="2"/>
      <c r="P14" s="67" t="s">
        <v>47</v>
      </c>
      <c r="Q14" s="69"/>
      <c r="R14" s="69"/>
      <c r="S14" s="69"/>
      <c r="T14" s="67" t="s">
        <v>48</v>
      </c>
      <c r="U14" s="69"/>
      <c r="V14" s="69"/>
      <c r="W14" s="69"/>
      <c r="X14" s="67" t="s">
        <v>49</v>
      </c>
      <c r="Y14" s="69"/>
      <c r="Z14" s="69"/>
      <c r="AA14" s="69"/>
      <c r="AB14" s="67" t="s">
        <v>50</v>
      </c>
      <c r="AC14" s="69"/>
      <c r="AD14" s="69"/>
      <c r="AE14" s="69"/>
      <c r="AF14" s="67" t="s">
        <v>51</v>
      </c>
      <c r="AG14" s="69"/>
      <c r="AH14" s="69"/>
      <c r="AI14" s="69"/>
      <c r="AJ14" s="40" t="s">
        <v>62</v>
      </c>
      <c r="AK14" s="41" t="s">
        <v>63</v>
      </c>
      <c r="AL14" s="41" t="s">
        <v>64</v>
      </c>
      <c r="AM14" s="41" t="s">
        <v>65</v>
      </c>
      <c r="AN14" s="41" t="s">
        <v>66</v>
      </c>
      <c r="AO14" s="42" t="s">
        <v>22</v>
      </c>
    </row>
    <row r="15" spans="1:41" x14ac:dyDescent="0.3">
      <c r="C15" s="3" t="s">
        <v>18</v>
      </c>
      <c r="D15" s="3">
        <v>6</v>
      </c>
      <c r="O15" s="2" t="s">
        <v>54</v>
      </c>
      <c r="P15" s="21">
        <f t="shared" ref="P15:AA15" si="2">P3</f>
        <v>1.2812500920696119</v>
      </c>
      <c r="Q15" s="22">
        <f t="shared" si="2"/>
        <v>1.2812500920696119</v>
      </c>
      <c r="R15" s="22">
        <f t="shared" si="2"/>
        <v>1.2812500920696119</v>
      </c>
      <c r="S15" s="22">
        <f t="shared" si="2"/>
        <v>1.2812500920696119</v>
      </c>
      <c r="T15" s="21">
        <f t="shared" si="2"/>
        <v>0</v>
      </c>
      <c r="U15" s="22">
        <f t="shared" si="2"/>
        <v>0</v>
      </c>
      <c r="V15" s="22">
        <f t="shared" si="2"/>
        <v>0</v>
      </c>
      <c r="W15" s="23">
        <f t="shared" si="2"/>
        <v>0</v>
      </c>
      <c r="X15" s="21">
        <f t="shared" si="2"/>
        <v>2.0624998158607761</v>
      </c>
      <c r="Y15" s="22">
        <f t="shared" si="2"/>
        <v>2.0624998158607761</v>
      </c>
      <c r="Z15" s="22">
        <f t="shared" si="2"/>
        <v>2.0624998158607761</v>
      </c>
      <c r="AA15" s="22">
        <f t="shared" si="2"/>
        <v>2.0624998158607761</v>
      </c>
      <c r="AB15" s="21">
        <f>P4</f>
        <v>1.2812500920696119</v>
      </c>
      <c r="AC15" s="22">
        <f>Q4</f>
        <v>1.2812500920696119</v>
      </c>
      <c r="AD15" s="22">
        <f>R4</f>
        <v>1.2812500920696119</v>
      </c>
      <c r="AE15" s="23">
        <f>S4</f>
        <v>1.2812500920696119</v>
      </c>
      <c r="AF15" s="21">
        <v>0</v>
      </c>
      <c r="AG15" s="22">
        <v>0</v>
      </c>
      <c r="AH15" s="22">
        <v>0</v>
      </c>
      <c r="AI15" s="22">
        <v>0</v>
      </c>
      <c r="AJ15" s="43">
        <f t="array" ref="AJ15">MMULT($P$15:$AI$15, TRANSPOSE(P3:AI3)) / (SQRT(MMULT($P$15:$AI$15, TRANSPOSE($P$15:$AI$15))) * SQRT(MMULT(P3:AI3, TRANSPOSE(P3:AI3))))</f>
        <v>0.98778890813534714</v>
      </c>
      <c r="AK15" s="25">
        <f t="array" ref="AK15">SUMPRODUCT(($P$15:$AI$15)*(P3:AI3)) / (SUMPRODUCT(($P$15:$AI$15)+(P3:AI3)&gt;0) + 0.01)</f>
        <v>3014.8436349130056</v>
      </c>
      <c r="AL15" s="25">
        <f>SQRT(SUMXMY2($P$15:$AI$15, P3:AI3))</f>
        <v>0.8660254037844386</v>
      </c>
      <c r="AM15" s="25">
        <f t="array" ref="AM15">SUM(ABS($P$15:$AI$15 - P3:AI3))</f>
        <v>1.5</v>
      </c>
      <c r="AN15" s="25">
        <f t="array" ref="AN15">(2 * SUMPRODUCT(($P$15:$AI$15)*(P3:AI3))) / (SUM($P$15:$AI$15) + SUM(P3:AI3) + 0.01)</f>
        <v>1.5657458503832802</v>
      </c>
      <c r="AO15" s="44">
        <v>1</v>
      </c>
    </row>
    <row r="16" spans="1:41" x14ac:dyDescent="0.3">
      <c r="C16" s="3" t="s">
        <v>5</v>
      </c>
      <c r="D16" s="3">
        <v>7</v>
      </c>
      <c r="AJ16" s="43">
        <f t="array" ref="AJ16">MMULT($P$15:$AI$15, TRANSPOSE(P4:AI4)) / (SQRT(MMULT($P$15:$AI$15, TRANSPOSE($P$15:$AI$15))) * SQRT(MMULT(P4:AI4, TRANSPOSE(P4:AI4))))</f>
        <v>0.98778890813534714</v>
      </c>
      <c r="AK16" s="25">
        <f t="array" ref="AK16">SUMPRODUCT(($P$15:$AI$15)*(P4:AI4)) / (SUMPRODUCT(($P$15:$AI$15)+(P4:AI4)&gt;0) + 0.01)</f>
        <v>3014.8436349130056</v>
      </c>
      <c r="AL16" s="25">
        <f>SQRT(SUMXMY2($P$15:$AI$15, P4:AI4))</f>
        <v>0.8660254037844386</v>
      </c>
      <c r="AM16" s="25">
        <f t="array" ref="AM16">SUM(ABS($P$15:$AI$15 - P4:AI4))</f>
        <v>1.5</v>
      </c>
      <c r="AN16" s="25">
        <f t="array" ref="AN16">(2 * SUMPRODUCT(($P$15:$AI$15)*(P4:AI4))) / (SUM($P$15:$AI$15) + SUM(P4:AI4) + 0.01)</f>
        <v>1.5657458503832802</v>
      </c>
      <c r="AO16" s="44">
        <v>1</v>
      </c>
    </row>
    <row r="17" spans="3:41" x14ac:dyDescent="0.3">
      <c r="C17" s="3" t="s">
        <v>7</v>
      </c>
      <c r="D17" s="3">
        <v>8</v>
      </c>
      <c r="AJ17" s="43">
        <f t="array" ref="AJ17">MMULT($P$15:$AI$15, TRANSPOSE(P5:AI5)) / (SQRT(MMULT($P$15:$AI$15, TRANSPOSE($P$15:$AI$15))) * SQRT(MMULT(P5:AI5, TRANSPOSE(P5:AI5))))</f>
        <v>0</v>
      </c>
      <c r="AK17" s="25">
        <f t="array" ref="AK17">SUMPRODUCT(($P$15:$AI$15)*(P5:AI5)) / (SUMPRODUCT(($P$15:$AI$15)+(P5:AI5)&gt;0) + 0.01)</f>
        <v>0</v>
      </c>
      <c r="AL17" s="25">
        <f>SQRT(SUMXMY2($P$15:$AI$15, P5:AI5))</f>
        <v>5.5586361950688996</v>
      </c>
      <c r="AM17" s="25">
        <f t="array" ref="AM17">SUM(ABS($P$15:$AI$15 - P5:AI5))</f>
        <v>20</v>
      </c>
      <c r="AN17" s="25">
        <f t="array" ref="AN17">(2 * SUMPRODUCT(($P$15:$AI$15)*(P5:AI5))) / (SUM($P$15:$AI$15) + SUM(P5:AI5) + 0.01)</f>
        <v>0</v>
      </c>
      <c r="AO17" s="44">
        <v>0</v>
      </c>
    </row>
    <row r="18" spans="3:41" x14ac:dyDescent="0.3">
      <c r="C18" s="3" t="s">
        <v>11</v>
      </c>
      <c r="D18" s="3">
        <v>9</v>
      </c>
      <c r="AJ18" s="45">
        <f t="array" ref="AJ18">MMULT($P$15:$AI$15, TRANSPOSE(P6:AI6)) / (SQRT(MMULT($P$15:$AI$15, TRANSPOSE($P$15:$AI$15))) * SQRT(MMULT(P6:AI6, TRANSPOSE(P6:AI6))))</f>
        <v>0</v>
      </c>
      <c r="AK18" s="46">
        <f t="array" ref="AK18">SUMPRODUCT(($P$15:$AI$15)*(P6:AI6)) / (SUMPRODUCT(($P$15:$AI$15)+(P6:AI6)&gt;0) + 0.01)</f>
        <v>0</v>
      </c>
      <c r="AL18" s="46">
        <f>SQRT(SUMXMY2($P$15:$AI$15, P6:AI6))</f>
        <v>5.5586361950688996</v>
      </c>
      <c r="AM18" s="46">
        <f t="array" ref="AM18">SUM(ABS($P$15:$AI$15 - P6:AI6))</f>
        <v>20</v>
      </c>
      <c r="AN18" s="46">
        <f t="array" ref="AN18">(2 * SUMPRODUCT(($P$15:$AI$15)*(P6:AI6))) / (SUM($P$15:$AI$15) + SUM(P6:AI6) + 0.01)</f>
        <v>0</v>
      </c>
      <c r="AO18" s="47">
        <v>0</v>
      </c>
    </row>
    <row r="19" spans="3:41" x14ac:dyDescent="0.3">
      <c r="C19" s="3" t="s">
        <v>6</v>
      </c>
      <c r="D19" s="3">
        <v>10</v>
      </c>
    </row>
    <row r="20" spans="3:41" x14ac:dyDescent="0.3">
      <c r="C20" s="3" t="s">
        <v>20</v>
      </c>
      <c r="D20" s="3">
        <v>11</v>
      </c>
    </row>
    <row r="21" spans="3:41" x14ac:dyDescent="0.3">
      <c r="C21" s="3" t="s">
        <v>15</v>
      </c>
      <c r="D21" s="3">
        <v>12</v>
      </c>
    </row>
    <row r="22" spans="3:41" x14ac:dyDescent="0.3">
      <c r="C22" s="3" t="s">
        <v>15</v>
      </c>
      <c r="D22" s="3">
        <v>13</v>
      </c>
    </row>
    <row r="23" spans="3:41" x14ac:dyDescent="0.3">
      <c r="C23" s="3" t="s">
        <v>16</v>
      </c>
      <c r="D23" s="3">
        <v>14</v>
      </c>
    </row>
  </sheetData>
  <mergeCells count="13">
    <mergeCell ref="P14:S14"/>
    <mergeCell ref="T14:W14"/>
    <mergeCell ref="X14:AA14"/>
    <mergeCell ref="AB14:AE14"/>
    <mergeCell ref="AF14:AI14"/>
    <mergeCell ref="AB2:AE2"/>
    <mergeCell ref="AF2:AI2"/>
    <mergeCell ref="P7:AI7"/>
    <mergeCell ref="C2:G2"/>
    <mergeCell ref="I2:M2"/>
    <mergeCell ref="P2:S2"/>
    <mergeCell ref="T2:W2"/>
    <mergeCell ref="X2:AA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etEmbeddings">
                <anchor moveWithCells="1" sizeWithCells="1">
                  <from>
                    <xdr:col>0</xdr:col>
                    <xdr:colOff>38100</xdr:colOff>
                    <xdr:row>6</xdr:row>
                    <xdr:rowOff>167640</xdr:rowOff>
                  </from>
                  <to>
                    <xdr:col>0</xdr:col>
                    <xdr:colOff>2072640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10"/>
  <sheetViews>
    <sheetView tabSelected="1" zoomScale="130" zoomScaleNormal="130" workbookViewId="0">
      <selection activeCell="J14" sqref="J14"/>
    </sheetView>
  </sheetViews>
  <sheetFormatPr defaultRowHeight="14.4" x14ac:dyDescent="0.3"/>
  <cols>
    <col min="1" max="1" width="24.6640625" customWidth="1"/>
    <col min="2" max="3" width="4.6640625" bestFit="1" customWidth="1"/>
    <col min="5" max="5" width="8.88671875" bestFit="1" customWidth="1"/>
    <col min="6" max="6" width="4.6640625" bestFit="1" customWidth="1"/>
    <col min="7" max="7" width="5.6640625" bestFit="1" customWidth="1"/>
    <col min="8" max="8" width="4.6640625" bestFit="1" customWidth="1"/>
    <col min="10" max="13" width="12.88671875" bestFit="1" customWidth="1"/>
    <col min="14" max="14" width="16" style="75" customWidth="1"/>
    <col min="17" max="17" width="11.6640625" bestFit="1" customWidth="1"/>
    <col min="19" max="19" width="16.109375" customWidth="1"/>
  </cols>
  <sheetData>
    <row r="1" spans="1:22" x14ac:dyDescent="0.3">
      <c r="A1" s="71" t="s">
        <v>67</v>
      </c>
      <c r="B1" s="71"/>
      <c r="C1" s="71"/>
      <c r="D1" s="71"/>
      <c r="E1" s="71"/>
      <c r="F1" s="71"/>
      <c r="G1" s="71"/>
      <c r="H1" s="71"/>
      <c r="I1" s="71"/>
      <c r="J1" s="71"/>
      <c r="U1" s="57" t="s">
        <v>75</v>
      </c>
      <c r="V1" s="56">
        <f>SUM(U5:U8)</f>
        <v>1.8692665591095909</v>
      </c>
    </row>
    <row r="2" spans="1:22" x14ac:dyDescent="0.3">
      <c r="A2" s="59" t="s">
        <v>76</v>
      </c>
      <c r="B2" s="59"/>
      <c r="C2" s="59"/>
      <c r="D2" s="60"/>
      <c r="E2" s="59" t="s">
        <v>68</v>
      </c>
      <c r="F2" s="59"/>
      <c r="G2" s="59"/>
      <c r="H2" s="59"/>
      <c r="I2" s="58"/>
      <c r="S2" s="57"/>
    </row>
    <row r="3" spans="1:22" x14ac:dyDescent="0.3">
      <c r="B3" s="57" t="s">
        <v>79</v>
      </c>
      <c r="P3" s="57" t="s">
        <v>73</v>
      </c>
      <c r="Q3" s="8">
        <v>2.5330286185296327E-6</v>
      </c>
      <c r="R3" s="8">
        <v>0.58822803444614857</v>
      </c>
    </row>
    <row r="4" spans="1:22" x14ac:dyDescent="0.3">
      <c r="A4" t="s">
        <v>69</v>
      </c>
      <c r="B4" t="s">
        <v>70</v>
      </c>
      <c r="C4" t="s">
        <v>71</v>
      </c>
      <c r="E4" s="57" t="s">
        <v>77</v>
      </c>
      <c r="J4" s="57" t="s">
        <v>72</v>
      </c>
      <c r="N4" s="77" t="s">
        <v>85</v>
      </c>
      <c r="P4" s="57" t="s">
        <v>74</v>
      </c>
      <c r="S4" s="57" t="s">
        <v>78</v>
      </c>
      <c r="T4" s="57" t="b">
        <v>1</v>
      </c>
      <c r="U4" s="57" t="s">
        <v>84</v>
      </c>
    </row>
    <row r="5" spans="1:22" x14ac:dyDescent="0.3">
      <c r="A5" t="s">
        <v>4</v>
      </c>
      <c r="B5" s="8">
        <v>4.8098593600634603</v>
      </c>
      <c r="C5" s="8">
        <v>9.1372854541975398E-2</v>
      </c>
      <c r="E5" s="61">
        <f t="array" ref="E5:H8">MMULT(B5:C8,TRANSPOSE(B5:C8))</f>
        <v>23.143096062137229</v>
      </c>
      <c r="F5" s="61">
        <v>10.063052945227033</v>
      </c>
      <c r="G5" s="61">
        <v>9.8024644292108665E-2</v>
      </c>
      <c r="H5" s="61">
        <v>9.8024644292108803E-2</v>
      </c>
      <c r="J5" s="74">
        <f>EXP(E5)/SUM(EXP($E5),EXP($F5),EXP($G5),EXP($H5))</f>
        <v>0.99999791335110133</v>
      </c>
      <c r="K5" s="74">
        <f t="shared" ref="K5:M5" si="0">EXP(F5)/SUM(EXP($E5),EXP($F5),EXP($G5),EXP($H5))</f>
        <v>2.0864527065781402E-6</v>
      </c>
      <c r="L5" s="74">
        <f t="shared" si="0"/>
        <v>9.8096100098388623E-11</v>
      </c>
      <c r="M5" s="74">
        <f t="shared" si="0"/>
        <v>9.8096100098388649E-11</v>
      </c>
      <c r="N5" s="76">
        <f>SUM(J5:M5)</f>
        <v>1.0000000000000002</v>
      </c>
      <c r="P5" s="62">
        <f t="array" ref="P5:Q8">MMULT(J5:M8,B5:C8)</f>
        <v>4.809853629647689</v>
      </c>
      <c r="Q5" s="62">
        <v>9.1375777525089671E-2</v>
      </c>
      <c r="S5" s="63">
        <f t="array" ref="S5:S8">MMULT(P5:Q8,TRANSPOSE(Q3:R3))</f>
        <v>5.3761977506466892E-2</v>
      </c>
      <c r="T5" s="63">
        <v>1</v>
      </c>
      <c r="U5" s="64">
        <f>(T5-S5)^2</f>
        <v>0.89536639521247197</v>
      </c>
    </row>
    <row r="6" spans="1:22" x14ac:dyDescent="0.3">
      <c r="A6" t="s">
        <v>10</v>
      </c>
      <c r="B6" s="8">
        <v>2.0638225000805757</v>
      </c>
      <c r="C6" s="8">
        <v>1.49231384297253</v>
      </c>
      <c r="E6" s="61">
        <v>10.063052945227033</v>
      </c>
      <c r="F6" s="61">
        <v>6.4863639177662789</v>
      </c>
      <c r="G6" s="61">
        <v>7.1122726861062094E-2</v>
      </c>
      <c r="H6" s="61">
        <v>7.1122726861062149E-2</v>
      </c>
      <c r="J6" s="74">
        <f>EXP(E6)/SUM(EXP($E6),EXP($F6),EXP($G6),EXP($H6))</f>
        <v>0.97270617365144085</v>
      </c>
      <c r="K6" s="74">
        <f t="shared" ref="K6:K7" si="1">EXP(F6)/SUM(EXP($E6),EXP($F6),EXP($G6),EXP($H6))</f>
        <v>2.7204789145173717E-2</v>
      </c>
      <c r="L6" s="74">
        <f t="shared" ref="L6:L7" si="2">EXP(G6)/SUM(EXP($E6),EXP($F6),EXP($G6),EXP($H6))</f>
        <v>4.4518601692678716E-5</v>
      </c>
      <c r="M6" s="74">
        <f t="shared" ref="M6:M7" si="3">EXP(H6)/SUM(EXP($E6),EXP($F6),EXP($G6),EXP($H6))</f>
        <v>4.4518601692678716E-5</v>
      </c>
      <c r="N6" s="76">
        <f t="shared" ref="N6:N8" si="4">SUM(J6:M6)</f>
        <v>0.99999999999999989</v>
      </c>
      <c r="P6" s="62">
        <v>4.734727530620721</v>
      </c>
      <c r="Q6" s="62">
        <v>0.12947880389769384</v>
      </c>
      <c r="S6" s="63">
        <v>7.617505551951477E-2</v>
      </c>
      <c r="T6" s="63">
        <v>1</v>
      </c>
      <c r="U6" s="64">
        <f>(T6-S6)^2</f>
        <v>0.85345252804437166</v>
      </c>
    </row>
    <row r="7" spans="1:22" x14ac:dyDescent="0.3">
      <c r="A7" t="s">
        <v>5</v>
      </c>
      <c r="B7" s="8">
        <v>1.999999999999999E-2</v>
      </c>
      <c r="C7" s="8">
        <v>0.02</v>
      </c>
      <c r="E7" s="61">
        <v>9.8024644292108665E-2</v>
      </c>
      <c r="F7" s="61">
        <v>7.1122726861062094E-2</v>
      </c>
      <c r="G7" s="61">
        <v>7.999999999999996E-4</v>
      </c>
      <c r="H7" s="61">
        <v>8.0000000000000015E-4</v>
      </c>
      <c r="J7" s="74">
        <f>EXP(E7)/SUM(EXP($E7),EXP($F7),EXP($G7),EXP($H7))</f>
        <v>0.26398033105132085</v>
      </c>
      <c r="K7" s="74">
        <f t="shared" si="1"/>
        <v>0.25697342614788221</v>
      </c>
      <c r="L7" s="74">
        <f t="shared" si="2"/>
        <v>0.23952312140039855</v>
      </c>
      <c r="M7" s="74">
        <f t="shared" si="3"/>
        <v>0.23952312140039855</v>
      </c>
      <c r="N7" s="76">
        <f t="shared" si="4"/>
        <v>1.0000000000000002</v>
      </c>
      <c r="P7" s="62">
        <v>1.8096367298426559</v>
      </c>
      <c r="Q7" s="62">
        <v>0.41718656236367452</v>
      </c>
      <c r="S7" s="63">
        <v>0.24540541543815567</v>
      </c>
      <c r="T7" s="63">
        <v>0</v>
      </c>
      <c r="U7" s="64">
        <f>(T7-S7)^2</f>
        <v>6.0223817926373768E-2</v>
      </c>
    </row>
    <row r="8" spans="1:22" x14ac:dyDescent="0.3">
      <c r="A8" t="s">
        <v>15</v>
      </c>
      <c r="B8" s="8">
        <v>2.0000000000000018E-2</v>
      </c>
      <c r="C8" s="8">
        <v>0.02</v>
      </c>
      <c r="E8" s="61">
        <v>9.8024644292108803E-2</v>
      </c>
      <c r="F8" s="61">
        <v>7.1122726861062149E-2</v>
      </c>
      <c r="G8" s="61">
        <v>8.0000000000000015E-4</v>
      </c>
      <c r="H8" s="61">
        <v>8.000000000000008E-4</v>
      </c>
      <c r="J8" s="74">
        <f>EXP(E8)/SUM(EXP($E8),EXP($F8),EXP($G8),EXP($H8))</f>
        <v>0.26398033105132085</v>
      </c>
      <c r="K8" s="74">
        <f>EXP(F8)/SUM(EXP($E8),EXP($F8),EXP($G8),EXP($H8))</f>
        <v>0.25697342614788216</v>
      </c>
      <c r="L8" s="74">
        <f>EXP(G8)/SUM(EXP($E8),EXP($F8),EXP($G8),EXP($H8))</f>
        <v>0.2395231214003985</v>
      </c>
      <c r="M8" s="74">
        <f>EXP(H8)/SUM(EXP($E8),EXP($F8),EXP($G8),EXP($H8))</f>
        <v>0.2395231214003985</v>
      </c>
      <c r="N8" s="76">
        <f t="shared" si="4"/>
        <v>1</v>
      </c>
      <c r="P8" s="62">
        <v>1.8096367298426557</v>
      </c>
      <c r="Q8" s="62">
        <v>0.41718656236367441</v>
      </c>
      <c r="S8" s="63">
        <v>0.24540541543815561</v>
      </c>
      <c r="T8" s="63">
        <v>0</v>
      </c>
      <c r="U8" s="64">
        <f t="shared" ref="U8" si="5">(T8-S8)^2</f>
        <v>6.0223817926373747E-2</v>
      </c>
    </row>
    <row r="9" spans="1:22" x14ac:dyDescent="0.3">
      <c r="A9" t="s">
        <v>82</v>
      </c>
      <c r="B9" s="72" t="s">
        <v>80</v>
      </c>
      <c r="C9" s="72"/>
      <c r="E9" s="72" t="s">
        <v>81</v>
      </c>
      <c r="F9" s="72"/>
      <c r="G9" s="72"/>
      <c r="H9" s="72"/>
    </row>
    <row r="10" spans="1:22" ht="46.8" customHeight="1" x14ac:dyDescent="0.3">
      <c r="E10" s="73" t="s">
        <v>83</v>
      </c>
      <c r="F10" s="73"/>
      <c r="G10" s="73"/>
      <c r="H10" s="73"/>
    </row>
  </sheetData>
  <mergeCells count="4">
    <mergeCell ref="A1:J1"/>
    <mergeCell ref="E9:H9"/>
    <mergeCell ref="B9:C9"/>
    <mergeCell ref="E10:H10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Basic Preprocessing</vt:lpstr>
      <vt:lpstr>Basic unigram coding</vt:lpstr>
      <vt:lpstr>Basic two-gram coding</vt:lpstr>
      <vt:lpstr>Basic Embeddings</vt:lpstr>
      <vt:lpstr>Simple Transformer</vt:lpstr>
      <vt:lpstr>BasicEmbeddings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 Fulton</dc:creator>
  <cp:lastModifiedBy>Cesar Aguirre Aragon</cp:lastModifiedBy>
  <dcterms:created xsi:type="dcterms:W3CDTF">2025-01-16T12:31:38Z</dcterms:created>
  <dcterms:modified xsi:type="dcterms:W3CDTF">2025-04-16T23:45:33Z</dcterms:modified>
</cp:coreProperties>
</file>